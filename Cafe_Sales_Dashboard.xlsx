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readOnlyRecommended="1"/>
  <workbookPr hidePivotFieldList="1" defaultThemeVersion="202300"/>
  <mc:AlternateContent xmlns:mc="http://schemas.openxmlformats.org/markup-compatibility/2006">
    <mc:Choice Requires="x15">
      <x15ac:absPath xmlns:x15ac="http://schemas.microsoft.com/office/spreadsheetml/2010/11/ac" url="H:\My Drive\University\Upwork\Portfolio\Cafe Portfolio\"/>
    </mc:Choice>
  </mc:AlternateContent>
  <xr:revisionPtr revIDLastSave="0" documentId="13_ncr:1_{87C220EE-7F06-4CEB-9F9E-434DECDBA573}" xr6:coauthVersionLast="47" xr6:coauthVersionMax="47" xr10:uidLastSave="{00000000-0000-0000-0000-000000000000}"/>
  <bookViews>
    <workbookView xWindow="-98" yWindow="-98" windowWidth="21795" windowHeight="13695" xr2:uid="{81362CDC-E0FD-41A2-A238-76C3B50D8825}"/>
  </bookViews>
  <sheets>
    <sheet name="Dashboard" sheetId="8" r:id="rId1"/>
    <sheet name="Data" sheetId="2" r:id="rId2"/>
    <sheet name="PT_RevenueByDate" sheetId="3" state="hidden" r:id="rId3"/>
    <sheet name="PT_RevenueByHour" sheetId="4" state="hidden" r:id="rId4"/>
    <sheet name="PT_RevenueByCategory" sheetId="5" state="hidden" r:id="rId5"/>
    <sheet name="PT_RevenueByBranch" sheetId="7" state="hidden" r:id="rId6"/>
    <sheet name="Top 10 Items" sheetId="6" state="hidden" r:id="rId7"/>
  </sheets>
  <definedNames>
    <definedName name="ExternalData_1" localSheetId="1" hidden="1">Data!$A$1:$I$401</definedName>
    <definedName name="Slicer_Branch">#N/A</definedName>
    <definedName name="Slicer_Category">#N/A</definedName>
    <definedName name="Slicer_Date">#N/A</definedName>
    <definedName name="Slicer_PaymentMethod">#N/A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8" l="1"/>
  <c r="B5" i="8"/>
  <c r="B4" i="8"/>
  <c r="B3" i="8"/>
  <c r="L6" i="2"/>
  <c r="L3" i="2"/>
  <c r="L2" i="2"/>
  <c r="L4" i="2"/>
  <c r="L5"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8A5725-3994-4CCA-9817-8BD17006ACB3}" keepAlive="1" name="Query - cafe_sales_data" description="Connection to the 'cafe_sales_data' query in the workbook." type="5" refreshedVersion="8" background="1" saveData="1">
    <dbPr connection="Provider=Microsoft.Mashup.OleDb.1;Data Source=$Workbook$;Location=cafe_sales_data;Extended Properties=&quot;&quot;" command="SELECT * FROM [cafe_sales_data]"/>
  </connection>
</connections>
</file>

<file path=xl/sharedStrings.xml><?xml version="1.0" encoding="utf-8"?>
<sst xmlns="http://schemas.openxmlformats.org/spreadsheetml/2006/main" count="1648" uniqueCount="39">
  <si>
    <t>Date</t>
  </si>
  <si>
    <t>Time</t>
  </si>
  <si>
    <t>Item</t>
  </si>
  <si>
    <t>Category</t>
  </si>
  <si>
    <t>Quantity</t>
  </si>
  <si>
    <t>UnitPrice</t>
  </si>
  <si>
    <t>PaymentMethod</t>
  </si>
  <si>
    <t>Branch</t>
  </si>
  <si>
    <t>Revenue</t>
  </si>
  <si>
    <t>Cookie</t>
  </si>
  <si>
    <t>Food</t>
  </si>
  <si>
    <t>Cash</t>
  </si>
  <si>
    <t>Downtown</t>
  </si>
  <si>
    <t>Croissant</t>
  </si>
  <si>
    <t>Card</t>
  </si>
  <si>
    <t>Espresso</t>
  </si>
  <si>
    <t>Coffee</t>
  </si>
  <si>
    <t>Campus</t>
  </si>
  <si>
    <t>Muffin</t>
  </si>
  <si>
    <t>Mall</t>
  </si>
  <si>
    <t>Cappuccino</t>
  </si>
  <si>
    <t>Latte</t>
  </si>
  <si>
    <t>Mocha</t>
  </si>
  <si>
    <t>Online</t>
  </si>
  <si>
    <t>Americano</t>
  </si>
  <si>
    <t>Sandwich</t>
  </si>
  <si>
    <t>Salad</t>
  </si>
  <si>
    <t>DateTime</t>
  </si>
  <si>
    <t>Weekday</t>
  </si>
  <si>
    <t>Hour</t>
  </si>
  <si>
    <t>Sum of Revenue</t>
  </si>
  <si>
    <t>Row Labels</t>
  </si>
  <si>
    <t>Grand Total</t>
  </si>
  <si>
    <t>Cafe Sales Dashboard – January 2025</t>
  </si>
  <si>
    <t>Total Revenue</t>
  </si>
  <si>
    <t>Total Transactions</t>
  </si>
  <si>
    <t>Avg Revenue per Transaction</t>
  </si>
  <si>
    <t>Total Units Sold</t>
  </si>
  <si>
    <t>Created by Abdalla Al Omari – Industrial &amp; Systems Engineering Student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</si>
</sst>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0.00"/>
    <numFmt numFmtId="166" formatCode="&quot;$&quot;#,##0"/>
  </numFmts>
  <fonts count="5" x14ac:knownFonts="1">
    <font>
      <sz val="11"/>
      <color theme="1"/>
      <name val="Aptos Narrow"/>
      <family val="2"/>
      <scheme val="minor"/>
    </font>
    <font>
      <b/>
      <sz val="16"/>
      <color theme="1"/>
      <name val="Aptos Narrow"/>
      <family val="2"/>
      <scheme val="minor"/>
    </font>
    <font>
      <b/>
      <sz val="24"/>
      <color theme="1"/>
      <name val="Aptos Narrow"/>
      <family val="2"/>
      <scheme val="minor"/>
    </font>
    <font>
      <sz val="16"/>
      <color theme="1"/>
      <name val="Aptos Narrow"/>
      <family val="2"/>
      <scheme val="minor"/>
    </font>
    <font>
      <sz val="1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164" fontId="0" fillId="0" borderId="0" xfId="0" applyNumberFormat="1"/>
    <xf numFmtId="22" fontId="0" fillId="0" borderId="0" xfId="0" applyNumberFormat="1"/>
    <xf numFmtId="1"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166" fontId="1" fillId="0" borderId="0" xfId="0" applyNumberFormat="1" applyFont="1"/>
    <xf numFmtId="0" fontId="3" fillId="0" borderId="0" xfId="0" applyFont="1"/>
    <xf numFmtId="1" fontId="1" fillId="0" borderId="0" xfId="0" applyNumberFormat="1" applyFont="1"/>
    <xf numFmtId="165" fontId="1" fillId="0" borderId="0" xfId="0" applyNumberFormat="1" applyFont="1"/>
    <xf numFmtId="0" fontId="2" fillId="0" borderId="0" xfId="0" applyFont="1"/>
    <xf numFmtId="0" fontId="4" fillId="0" borderId="0" xfId="0" applyFont="1"/>
    <xf numFmtId="0" fontId="2" fillId="0" borderId="0" xfId="0" applyFont="1" applyAlignment="1">
      <alignment horizontal="center"/>
    </xf>
  </cellXfs>
  <cellStyles count="1">
    <cellStyle name="Normal" xfId="0" builtinId="0"/>
  </cellStyles>
  <dxfs count="9">
    <dxf>
      <numFmt numFmtId="1" formatCode="0"/>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164" formatCode="[$-F400]h:mm:ss\ AM/PM"/>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[Cafe_Sales_Dashboard.xlsx]PT_RevenueByDate!PivotTable1</c:name>
    <c:fmtId val="6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PT_RevenueByDate!$B$3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PT_RevenueByDate!$A$4:$A$34</c:f>
              <c:strCache>
                <c:ptCount val="30"/>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pt idx="15">
                  <c:v>1/16/2025</c:v>
                </c:pt>
                <c:pt idx="16">
                  <c:v>1/17/2025</c:v>
                </c:pt>
                <c:pt idx="17">
                  <c:v>1/18/2025</c:v>
                </c:pt>
                <c:pt idx="18">
                  <c:v>1/19/2025</c:v>
                </c:pt>
                <c:pt idx="19">
                  <c:v>1/20/2025</c:v>
                </c:pt>
                <c:pt idx="20">
                  <c:v>1/21/2025</c:v>
                </c:pt>
                <c:pt idx="21">
                  <c:v>1/22/2025</c:v>
                </c:pt>
                <c:pt idx="22">
                  <c:v>1/23/2025</c:v>
                </c:pt>
                <c:pt idx="23">
                  <c:v>1/24/2025</c:v>
                </c:pt>
                <c:pt idx="24">
                  <c:v>1/25/2025</c:v>
                </c:pt>
                <c:pt idx="25">
                  <c:v>1/26/2025</c:v>
                </c:pt>
                <c:pt idx="26">
                  <c:v>1/27/2025</c:v>
                </c:pt>
                <c:pt idx="27">
                  <c:v>1/28/2025</c:v>
                </c:pt>
                <c:pt idx="28">
                  <c:v>1/29/2025</c:v>
                </c:pt>
                <c:pt idx="29">
                  <c:v>1/30/2025</c:v>
                </c:pt>
              </c:strCache>
            </c:strRef>
          </c:cat>
          <c:val>
            <c:numRef>
              <c:f>PT_RevenueByDate!$B$4:$B$34</c:f>
              <c:numCache>
                <c:formatCode>General</c:formatCode>
                <c:ptCount val="30"/>
                <c:pt idx="0">
                  <c:v>369</c:v>
                </c:pt>
                <c:pt idx="1">
                  <c:v>419</c:v>
                </c:pt>
                <c:pt idx="2">
                  <c:v>262</c:v>
                </c:pt>
                <c:pt idx="3">
                  <c:v>172</c:v>
                </c:pt>
                <c:pt idx="4">
                  <c:v>490</c:v>
                </c:pt>
                <c:pt idx="5">
                  <c:v>433</c:v>
                </c:pt>
                <c:pt idx="6">
                  <c:v>414</c:v>
                </c:pt>
                <c:pt idx="7">
                  <c:v>409</c:v>
                </c:pt>
                <c:pt idx="8">
                  <c:v>260</c:v>
                </c:pt>
                <c:pt idx="9">
                  <c:v>389</c:v>
                </c:pt>
                <c:pt idx="10">
                  <c:v>278</c:v>
                </c:pt>
                <c:pt idx="11">
                  <c:v>361</c:v>
                </c:pt>
                <c:pt idx="12">
                  <c:v>173</c:v>
                </c:pt>
                <c:pt idx="13">
                  <c:v>209</c:v>
                </c:pt>
                <c:pt idx="14">
                  <c:v>337</c:v>
                </c:pt>
                <c:pt idx="15">
                  <c:v>254</c:v>
                </c:pt>
                <c:pt idx="16">
                  <c:v>523</c:v>
                </c:pt>
                <c:pt idx="17">
                  <c:v>187</c:v>
                </c:pt>
                <c:pt idx="18">
                  <c:v>250</c:v>
                </c:pt>
                <c:pt idx="19">
                  <c:v>504</c:v>
                </c:pt>
                <c:pt idx="20">
                  <c:v>413</c:v>
                </c:pt>
                <c:pt idx="21">
                  <c:v>404</c:v>
                </c:pt>
                <c:pt idx="22">
                  <c:v>114</c:v>
                </c:pt>
                <c:pt idx="23">
                  <c:v>493</c:v>
                </c:pt>
                <c:pt idx="24">
                  <c:v>91</c:v>
                </c:pt>
                <c:pt idx="25">
                  <c:v>275</c:v>
                </c:pt>
                <c:pt idx="26">
                  <c:v>309</c:v>
                </c:pt>
                <c:pt idx="27">
                  <c:v>356</c:v>
                </c:pt>
                <c:pt idx="28">
                  <c:v>443</c:v>
                </c:pt>
                <c:pt idx="29">
                  <c:v>387</c:v>
                </c:pt>
              </c:numCache>
            </c:numRef>
          </c:val>
          <c:smooth val="0"/>
          <c:extLst>
            <c:ext xmlns:c16="http://schemas.microsoft.com/office/drawing/2014/chart" uri="{C3380CC4-5D6E-409C-BE32-E72D297353CC}">
              <c16:uniqueId val="{00000000-EBFD-4E99-983E-5D07B1D27759}"/>
            </c:ext>
          </c:extLst>
        </c:ser>
        <c:dLbls>
          <c:showLegendKey val="0"/>
          <c:showVal val="0"/>
          <c:showCatName val="0"/>
          <c:showSerName val="0"/>
          <c:showPercent val="0"/>
          <c:showBubbleSize val="0"/>
        </c:dLbls>
        <c:marker val="1"/>
        <c:smooth val="0"/>
        <c:axId val="1316582960"/>
        <c:axId val="1316582480"/>
      </c:lineChart>
      <c:catAx>
        <c:axId val="131658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82480"/>
        <c:crosses val="autoZero"/>
        <c:auto val="1"/>
        <c:lblAlgn val="ctr"/>
        <c:lblOffset val="100"/>
        <c:noMultiLvlLbl val="0"/>
      </c:catAx>
      <c:valAx>
        <c:axId val="1316582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8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[Cafe_Sales_Dashboard.xlsx]PT_RevenueByHour!PivotTable2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Hour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PT_RevenueByHour!$B$3</c:f>
              <c:strCache>
                <c:ptCount val="1"/>
                <c:pt idx="0">
                  <c:v>Total</c:v>
                </c:pt>
              </c:strCache>
            </c:strRef>
          </c:tx>
          <c:spPr>
            <a:solidFill>
              <a:schemeClr val="accent1"/>
            </a:solidFill>
            <a:ln>
              <a:noFill/>
            </a:ln>
            <a:effectLst/>
          </c:spPr>
          <c:invertIfNegative val="0"/>
          <c:cat>
            <c:strRef>
              <c:f>PT_RevenueByHour!$A$4:$A$28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PT_RevenueByHour!$B$4:$B$28</c:f>
              <c:numCache>
                <c:formatCode>General</c:formatCode>
                <c:ptCount val="24"/>
                <c:pt idx="0">
                  <c:v>348</c:v>
                </c:pt>
                <c:pt idx="1">
                  <c:v>390</c:v>
                </c:pt>
                <c:pt idx="2">
                  <c:v>589</c:v>
                </c:pt>
                <c:pt idx="3">
                  <c:v>689</c:v>
                </c:pt>
                <c:pt idx="4">
                  <c:v>353</c:v>
                </c:pt>
                <c:pt idx="5">
                  <c:v>520</c:v>
                </c:pt>
                <c:pt idx="6">
                  <c:v>374</c:v>
                </c:pt>
                <c:pt idx="7">
                  <c:v>325</c:v>
                </c:pt>
                <c:pt idx="8">
                  <c:v>509</c:v>
                </c:pt>
                <c:pt idx="9">
                  <c:v>498</c:v>
                </c:pt>
                <c:pt idx="10">
                  <c:v>443</c:v>
                </c:pt>
                <c:pt idx="11">
                  <c:v>372</c:v>
                </c:pt>
                <c:pt idx="12">
                  <c:v>534</c:v>
                </c:pt>
                <c:pt idx="13">
                  <c:v>492</c:v>
                </c:pt>
                <c:pt idx="14">
                  <c:v>448</c:v>
                </c:pt>
                <c:pt idx="15">
                  <c:v>520</c:v>
                </c:pt>
                <c:pt idx="16">
                  <c:v>517</c:v>
                </c:pt>
                <c:pt idx="17">
                  <c:v>139</c:v>
                </c:pt>
                <c:pt idx="18">
                  <c:v>377</c:v>
                </c:pt>
                <c:pt idx="19">
                  <c:v>281</c:v>
                </c:pt>
                <c:pt idx="20">
                  <c:v>262</c:v>
                </c:pt>
                <c:pt idx="21">
                  <c:v>255</c:v>
                </c:pt>
                <c:pt idx="22">
                  <c:v>363</c:v>
                </c:pt>
                <c:pt idx="23">
                  <c:v>380</c:v>
                </c:pt>
              </c:numCache>
            </c:numRef>
          </c:val>
          <c:extLst>
            <c:ext xmlns:c16="http://schemas.microsoft.com/office/drawing/2014/chart" uri="{C3380CC4-5D6E-409C-BE32-E72D297353CC}">
              <c16:uniqueId val="{00000000-5C2C-4170-BDA5-BCA9796F5B57}"/>
            </c:ext>
          </c:extLst>
        </c:ser>
        <c:dLbls>
          <c:showLegendKey val="0"/>
          <c:showVal val="0"/>
          <c:showCatName val="0"/>
          <c:showSerName val="0"/>
          <c:showPercent val="0"/>
          <c:showBubbleSize val="0"/>
        </c:dLbls>
        <c:gapWidth val="219"/>
        <c:overlap val="-27"/>
        <c:axId val="1316589200"/>
        <c:axId val="1316582000"/>
      </c:barChart>
      <c:catAx>
        <c:axId val="131658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82000"/>
        <c:crosses val="autoZero"/>
        <c:auto val="1"/>
        <c:lblAlgn val="ctr"/>
        <c:lblOffset val="100"/>
        <c:noMultiLvlLbl val="0"/>
      </c:catAx>
      <c:valAx>
        <c:axId val="131658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8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[Cafe_Sales_Dashboard.xlsx]PT_RevenueByBranch!PivotTable5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PT_RevenueByBranch!$B$3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623-4BB4-8DF1-2C572DCA79F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623-4BB4-8DF1-2C572DCA79F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623-4BB4-8DF1-2C572DCA79FE}"/>
              </c:ext>
            </c:extLst>
          </c:dPt>
          <c:cat>
            <c:strRef>
              <c:f>PT_RevenueByBranch!$A$4:$A$7</c:f>
              <c:strCache>
                <c:ptCount val="3"/>
                <c:pt idx="0">
                  <c:v>Campus</c:v>
                </c:pt>
                <c:pt idx="1">
                  <c:v>Downtown</c:v>
                </c:pt>
                <c:pt idx="2">
                  <c:v>Mall</c:v>
                </c:pt>
              </c:strCache>
            </c:strRef>
          </c:cat>
          <c:val>
            <c:numRef>
              <c:f>PT_RevenueByBranch!$B$4:$B$7</c:f>
              <c:numCache>
                <c:formatCode>General</c:formatCode>
                <c:ptCount val="3"/>
                <c:pt idx="0">
                  <c:v>1911</c:v>
                </c:pt>
                <c:pt idx="1">
                  <c:v>4478</c:v>
                </c:pt>
                <c:pt idx="2">
                  <c:v>3589</c:v>
                </c:pt>
              </c:numCache>
            </c:numRef>
          </c:val>
          <c:extLst>
            <c:ext xmlns:c16="http://schemas.microsoft.com/office/drawing/2014/chart" uri="{C3380CC4-5D6E-409C-BE32-E72D297353CC}">
              <c16:uniqueId val="{00000006-E623-4BB4-8DF1-2C572DCA79F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[Cafe_Sales_Dashboard.xlsx]Top 10 Items!PivotTable4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t>
            </a:r>
            <a:r>
              <a:rPr lang="en-US" sz="1400" b="0" i="0" u="none" strike="noStrike" baseline="0"/>
              <a:t>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10 Items'!$B$3</c:f>
              <c:strCache>
                <c:ptCount val="1"/>
                <c:pt idx="0">
                  <c:v>Total</c:v>
                </c:pt>
              </c:strCache>
            </c:strRef>
          </c:tx>
          <c:spPr>
            <a:solidFill>
              <a:schemeClr val="accent1"/>
            </a:solidFill>
            <a:ln>
              <a:noFill/>
            </a:ln>
            <a:effectLst/>
            <a:sp3d/>
          </c:spPr>
          <c:invertIfNegative val="0"/>
          <c:cat>
            <c:strRef>
              <c:f>'Top 10 Items'!$A$4:$A$14</c:f>
              <c:strCache>
                <c:ptCount val="10"/>
                <c:pt idx="0">
                  <c:v>Americano</c:v>
                </c:pt>
                <c:pt idx="1">
                  <c:v>Cappuccino</c:v>
                </c:pt>
                <c:pt idx="2">
                  <c:v>Cookie</c:v>
                </c:pt>
                <c:pt idx="3">
                  <c:v>Croissant</c:v>
                </c:pt>
                <c:pt idx="4">
                  <c:v>Espresso</c:v>
                </c:pt>
                <c:pt idx="5">
                  <c:v>Latte</c:v>
                </c:pt>
                <c:pt idx="6">
                  <c:v>Mocha</c:v>
                </c:pt>
                <c:pt idx="7">
                  <c:v>Muffin</c:v>
                </c:pt>
                <c:pt idx="8">
                  <c:v>Salad</c:v>
                </c:pt>
                <c:pt idx="9">
                  <c:v>Sandwich</c:v>
                </c:pt>
              </c:strCache>
            </c:strRef>
          </c:cat>
          <c:val>
            <c:numRef>
              <c:f>'Top 10 Items'!$B$4:$B$14</c:f>
              <c:numCache>
                <c:formatCode>General</c:formatCode>
                <c:ptCount val="10"/>
                <c:pt idx="0">
                  <c:v>600</c:v>
                </c:pt>
                <c:pt idx="1">
                  <c:v>1106</c:v>
                </c:pt>
                <c:pt idx="2">
                  <c:v>468</c:v>
                </c:pt>
                <c:pt idx="3">
                  <c:v>693</c:v>
                </c:pt>
                <c:pt idx="4">
                  <c:v>870</c:v>
                </c:pt>
                <c:pt idx="5">
                  <c:v>945</c:v>
                </c:pt>
                <c:pt idx="6">
                  <c:v>1392</c:v>
                </c:pt>
                <c:pt idx="7">
                  <c:v>728</c:v>
                </c:pt>
                <c:pt idx="8">
                  <c:v>1394</c:v>
                </c:pt>
                <c:pt idx="9">
                  <c:v>1782</c:v>
                </c:pt>
              </c:numCache>
            </c:numRef>
          </c:val>
          <c:extLst>
            <c:ext xmlns:c16="http://schemas.microsoft.com/office/drawing/2014/chart" uri="{C3380CC4-5D6E-409C-BE32-E72D297353CC}">
              <c16:uniqueId val="{00000000-D30B-4D8A-B7F7-3E7E6A46E31C}"/>
            </c:ext>
          </c:extLst>
        </c:ser>
        <c:dLbls>
          <c:showLegendKey val="0"/>
          <c:showVal val="0"/>
          <c:showCatName val="0"/>
          <c:showSerName val="0"/>
          <c:showPercent val="0"/>
          <c:showBubbleSize val="0"/>
        </c:dLbls>
        <c:gapWidth val="150"/>
        <c:shape val="box"/>
        <c:axId val="791073072"/>
        <c:axId val="791064912"/>
        <c:axId val="0"/>
      </c:bar3DChart>
      <c:catAx>
        <c:axId val="791073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64912"/>
        <c:crosses val="autoZero"/>
        <c:auto val="1"/>
        <c:lblAlgn val="ctr"/>
        <c:lblOffset val="100"/>
        <c:noMultiLvlLbl val="0"/>
      </c:catAx>
      <c:valAx>
        <c:axId val="79106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7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72472</xdr:rowOff>
    </xdr:from>
    <xdr:to>
      <xdr:col>9</xdr:col>
      <xdr:colOff>365815</xdr:colOff>
      <xdr:row>29</xdr:row>
      <xdr:rowOff>34510</xdr:rowOff>
    </xdr:to>
    <xdr:graphicFrame macro="">
      <xdr:nvGraphicFramePr>
        <xdr:cNvPr id="2" name="Chart 2">
          <a:extLst>
            <a:ext uri="{FF2B5EF4-FFF2-40B4-BE49-F238E27FC236}">
              <a16:creationId xmlns:a16="http://schemas.microsoft.com/office/drawing/2014/main" id="{D956CAD1-26EE-FDA9-FB57-C17BB49DB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401595</xdr:colOff>
      <xdr:row>6</xdr:row>
      <xdr:rowOff>69020</xdr:rowOff>
    </xdr:from>
    <xdr:to>
      <xdr:col>21</xdr:col>
      <xdr:colOff>379618</xdr:colOff>
      <xdr:row>29</xdr:row>
      <xdr:rowOff>48314</xdr:rowOff>
    </xdr:to>
    <xdr:graphicFrame macro="">
      <xdr:nvGraphicFramePr>
        <xdr:cNvPr id="3" name="Chart 1">
          <a:extLst>
            <a:ext uri="{FF2B5EF4-FFF2-40B4-BE49-F238E27FC236}">
              <a16:creationId xmlns:a16="http://schemas.microsoft.com/office/drawing/2014/main" id="{CDED271D-CD1E-39D8-D055-A7D64CEB0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392428</xdr:colOff>
      <xdr:row>29</xdr:row>
      <xdr:rowOff>50899</xdr:rowOff>
    </xdr:from>
    <xdr:to>
      <xdr:col>21</xdr:col>
      <xdr:colOff>400326</xdr:colOff>
      <xdr:row>52</xdr:row>
      <xdr:rowOff>13802</xdr:rowOff>
    </xdr:to>
    <xdr:graphicFrame macro="">
      <xdr:nvGraphicFramePr>
        <xdr:cNvPr id="5" name="Chart 1">
          <a:extLst>
            <a:ext uri="{FF2B5EF4-FFF2-40B4-BE49-F238E27FC236}">
              <a16:creationId xmlns:a16="http://schemas.microsoft.com/office/drawing/2014/main" id="{5DDEA49D-94AB-1F2A-8B8F-4E8E38C21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37703</xdr:colOff>
      <xdr:row>29</xdr:row>
      <xdr:rowOff>58953</xdr:rowOff>
    </xdr:from>
    <xdr:to>
      <xdr:col>9</xdr:col>
      <xdr:colOff>358912</xdr:colOff>
      <xdr:row>52</xdr:row>
      <xdr:rowOff>6901</xdr:rowOff>
    </xdr:to>
    <xdr:graphicFrame macro="">
      <xdr:nvGraphicFramePr>
        <xdr:cNvPr id="6" name="Chart 1">
          <a:extLst>
            <a:ext uri="{FF2B5EF4-FFF2-40B4-BE49-F238E27FC236}">
              <a16:creationId xmlns:a16="http://schemas.microsoft.com/office/drawing/2014/main" id="{C2168179-535A-6870-6097-B10B42AC0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131108</xdr:colOff>
      <xdr:row>6</xdr:row>
      <xdr:rowOff>158752</xdr:rowOff>
    </xdr:from>
    <xdr:to>
      <xdr:col>26</xdr:col>
      <xdr:colOff>541617</xdr:colOff>
      <xdr:row>30</xdr:row>
      <xdr:rowOff>9338</xdr:rowOff>
    </xdr:to>
    <mc:AlternateContent xmlns:mc="http://schemas.openxmlformats.org/markup-compatibility/2006" xmlns:a14="http://schemas.microsoft.com/office/drawing/2010/main">
      <mc:Choice Requires="a14">
        <xdr:graphicFrame macro="">
          <xdr:nvGraphicFramePr>
            <xdr:cNvPr id="7" name="Date">
              <a:extLst>
                <a:ext uri="{FF2B5EF4-FFF2-40B4-BE49-F238E27FC236}">
                  <a16:creationId xmlns:a16="http://schemas.microsoft.com/office/drawing/2014/main" id="{8F3A7D7C-E223-43E1-8087-DFDE9F58C9C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6164859" y="1820958"/>
              <a:ext cx="2987862" cy="410882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606237</xdr:colOff>
      <xdr:row>6</xdr:row>
      <xdr:rowOff>135499</xdr:rowOff>
    </xdr:from>
    <xdr:to>
      <xdr:col>31</xdr:col>
      <xdr:colOff>18676</xdr:colOff>
      <xdr:row>30</xdr:row>
      <xdr:rowOff>28015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7F3B0FB5-F493-43BF-B384-08B209DDF6B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217341" y="1797705"/>
              <a:ext cx="2634129" cy="415075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130734</xdr:colOff>
      <xdr:row>30</xdr:row>
      <xdr:rowOff>93477</xdr:rowOff>
    </xdr:from>
    <xdr:to>
      <xdr:col>26</xdr:col>
      <xdr:colOff>494925</xdr:colOff>
      <xdr:row>51</xdr:row>
      <xdr:rowOff>168087</xdr:rowOff>
    </xdr:to>
    <mc:AlternateContent xmlns:mc="http://schemas.openxmlformats.org/markup-compatibility/2006" xmlns:a14="http://schemas.microsoft.com/office/drawing/2010/main">
      <mc:Choice Requires="a14">
        <xdr:graphicFrame macro="">
          <xdr:nvGraphicFramePr>
            <xdr:cNvPr id="9" name="PaymentMethod">
              <a:extLst>
                <a:ext uri="{FF2B5EF4-FFF2-40B4-BE49-F238E27FC236}">
                  <a16:creationId xmlns:a16="http://schemas.microsoft.com/office/drawing/2014/main" id="{2D9822E0-1406-47C2-B45F-E0767534F3F8}"/>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6164485" y="6013918"/>
              <a:ext cx="2941544" cy="380056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568884</xdr:colOff>
      <xdr:row>30</xdr:row>
      <xdr:rowOff>103001</xdr:rowOff>
    </xdr:from>
    <xdr:to>
      <xdr:col>31</xdr:col>
      <xdr:colOff>65368</xdr:colOff>
      <xdr:row>51</xdr:row>
      <xdr:rowOff>112058</xdr:rowOff>
    </xdr:to>
    <mc:AlternateContent xmlns:mc="http://schemas.openxmlformats.org/markup-compatibility/2006" xmlns:a14="http://schemas.microsoft.com/office/drawing/2010/main">
      <mc:Choice Requires="a14">
        <xdr:graphicFrame macro="">
          <xdr:nvGraphicFramePr>
            <xdr:cNvPr id="10" name="Branch">
              <a:extLst>
                <a:ext uri="{FF2B5EF4-FFF2-40B4-BE49-F238E27FC236}">
                  <a16:creationId xmlns:a16="http://schemas.microsoft.com/office/drawing/2014/main" id="{2204564C-9069-4520-BE3E-C44730AFDC55}"/>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9179988" y="6023442"/>
              <a:ext cx="2718174" cy="373501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alla Omari" refreshedDate="46008.977620949074" createdVersion="8" refreshedVersion="8" minRefreshableVersion="3" recordCount="400" xr:uid="{6A31D237-A091-40EB-A9B0-07FB39E22C08}">
  <cacheSource type="worksheet">
    <worksheetSource name="tblSales"/>
  </cacheSource>
  <cacheFields count="12">
    <cacheField name="Date" numFmtId="14">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Time" numFmtId="164">
      <sharedItems containsSemiMixedTypes="0" containsNonDate="0" containsDate="1" containsString="0" minDate="1899-12-30T00:00:00" maxDate="1899-12-30T23:00:00"/>
    </cacheField>
    <cacheField name="Item" numFmtId="0">
      <sharedItems count="10">
        <s v="Cookie"/>
        <s v="Croissant"/>
        <s v="Espresso"/>
        <s v="Muffin"/>
        <s v="Cappuccino"/>
        <s v="Latte"/>
        <s v="Mocha"/>
        <s v="Americano"/>
        <s v="Sandwich"/>
        <s v="Salad"/>
      </sharedItems>
    </cacheField>
    <cacheField name="Category" numFmtId="0">
      <sharedItems count="2">
        <s v="Food"/>
        <s v="Coffee"/>
      </sharedItems>
    </cacheField>
    <cacheField name="Quantity" numFmtId="0">
      <sharedItems containsSemiMixedTypes="0" containsString="0" containsNumber="1" containsInteger="1" minValue="1" maxValue="3"/>
    </cacheField>
    <cacheField name="UnitPrice" numFmtId="0">
      <sharedItems containsSemiMixedTypes="0" containsString="0" containsNumber="1" containsInteger="1" minValue="6" maxValue="18"/>
    </cacheField>
    <cacheField name="PaymentMethod" numFmtId="0">
      <sharedItems count="3">
        <s v="Cash"/>
        <s v="Card"/>
        <s v="Online"/>
      </sharedItems>
    </cacheField>
    <cacheField name="Branch" numFmtId="0">
      <sharedItems count="3">
        <s v="Downtown"/>
        <s v="Campus"/>
        <s v="Mall"/>
      </sharedItems>
    </cacheField>
    <cacheField name="Revenue" numFmtId="0">
      <sharedItems containsSemiMixedTypes="0" containsString="0" containsNumber="1" containsInteger="1" minValue="6" maxValue="54" count="23">
        <n v="12"/>
        <n v="27"/>
        <n v="10"/>
        <n v="16"/>
        <n v="42"/>
        <n v="30"/>
        <n v="28"/>
        <n v="32"/>
        <n v="18"/>
        <n v="48"/>
        <n v="24"/>
        <n v="36"/>
        <n v="20"/>
        <n v="15"/>
        <n v="6"/>
        <n v="34"/>
        <n v="51"/>
        <n v="8"/>
        <n v="17"/>
        <n v="14"/>
        <n v="45"/>
        <n v="9"/>
        <n v="54"/>
      </sharedItems>
    </cacheField>
    <cacheField name="DateTime" numFmtId="22">
      <sharedItems containsSemiMixedTypes="0" containsNonDate="0" containsDate="1" containsString="0" minDate="2025-01-01T01:00:00" maxDate="2025-01-30T23:00:00"/>
    </cacheField>
    <cacheField name="Weekday" numFmtId="0">
      <sharedItems/>
    </cacheField>
    <cacheField name="Hour" numFmtId="1">
      <sharedItems containsSemiMixedTypes="0" containsString="0" containsNumber="1" containsInteger="1" minValue="0" maxValue="23" count="24">
        <n v="1"/>
        <n v="4"/>
        <n v="8"/>
        <n v="13"/>
        <n v="14"/>
        <n v="16"/>
        <n v="17"/>
        <n v="19"/>
        <n v="20"/>
        <n v="21"/>
        <n v="2"/>
        <n v="3"/>
        <n v="10"/>
        <n v="11"/>
        <n v="12"/>
        <n v="23"/>
        <n v="0"/>
        <n v="5"/>
        <n v="15"/>
        <n v="6"/>
        <n v="7"/>
        <n v="9"/>
        <n v="18"/>
        <n v="22"/>
      </sharedItems>
    </cacheField>
  </cacheFields>
  <extLst>
    <ext xmlns:x14="http://schemas.microsoft.com/office/spreadsheetml/2009/9/main" uri="{725AE2AE-9491-48be-B2B4-4EB974FC3084}">
      <x14:pivotCacheDefinition pivotCacheId="7756891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d v="1899-12-30T01:00:00"/>
    <x v="0"/>
    <x v="0"/>
    <n v="2"/>
    <n v="6"/>
    <x v="0"/>
    <x v="0"/>
    <x v="0"/>
    <d v="2025-01-01T01:00:00"/>
    <s v="Wed"/>
    <x v="0"/>
  </r>
  <r>
    <x v="0"/>
    <d v="1899-12-30T01:00:00"/>
    <x v="1"/>
    <x v="0"/>
    <n v="3"/>
    <n v="9"/>
    <x v="1"/>
    <x v="0"/>
    <x v="1"/>
    <d v="2025-01-01T01:00:00"/>
    <s v="Wed"/>
    <x v="0"/>
  </r>
  <r>
    <x v="0"/>
    <d v="1899-12-30T01:00:00"/>
    <x v="2"/>
    <x v="1"/>
    <n v="1"/>
    <n v="10"/>
    <x v="0"/>
    <x v="1"/>
    <x v="2"/>
    <d v="2025-01-01T01:00:00"/>
    <s v="Wed"/>
    <x v="0"/>
  </r>
  <r>
    <x v="0"/>
    <d v="1899-12-30T04:00:00"/>
    <x v="3"/>
    <x v="0"/>
    <n v="2"/>
    <n v="8"/>
    <x v="0"/>
    <x v="2"/>
    <x v="3"/>
    <d v="2025-01-01T04:00:00"/>
    <s v="Wed"/>
    <x v="1"/>
  </r>
  <r>
    <x v="0"/>
    <d v="1899-12-30T08:00:00"/>
    <x v="4"/>
    <x v="1"/>
    <n v="3"/>
    <n v="14"/>
    <x v="0"/>
    <x v="0"/>
    <x v="4"/>
    <d v="2025-01-01T08:00:00"/>
    <s v="Wed"/>
    <x v="2"/>
  </r>
  <r>
    <x v="0"/>
    <d v="1899-12-30T13:00:00"/>
    <x v="5"/>
    <x v="1"/>
    <n v="2"/>
    <n v="15"/>
    <x v="1"/>
    <x v="2"/>
    <x v="5"/>
    <d v="2025-01-01T13:00:00"/>
    <s v="Wed"/>
    <x v="3"/>
  </r>
  <r>
    <x v="0"/>
    <d v="1899-12-30T14:00:00"/>
    <x v="4"/>
    <x v="1"/>
    <n v="2"/>
    <n v="14"/>
    <x v="0"/>
    <x v="0"/>
    <x v="6"/>
    <d v="2025-01-01T14:00:00"/>
    <s v="Wed"/>
    <x v="4"/>
  </r>
  <r>
    <x v="0"/>
    <d v="1899-12-30T14:00:00"/>
    <x v="6"/>
    <x v="1"/>
    <n v="2"/>
    <n v="16"/>
    <x v="1"/>
    <x v="2"/>
    <x v="7"/>
    <d v="2025-01-01T14:00:00"/>
    <s v="Wed"/>
    <x v="4"/>
  </r>
  <r>
    <x v="0"/>
    <d v="1899-12-30T16:00:00"/>
    <x v="6"/>
    <x v="1"/>
    <n v="1"/>
    <n v="16"/>
    <x v="0"/>
    <x v="0"/>
    <x v="3"/>
    <d v="2025-01-01T16:00:00"/>
    <s v="Wed"/>
    <x v="5"/>
  </r>
  <r>
    <x v="0"/>
    <d v="1899-12-30T17:00:00"/>
    <x v="5"/>
    <x v="1"/>
    <n v="2"/>
    <n v="15"/>
    <x v="0"/>
    <x v="0"/>
    <x v="5"/>
    <d v="2025-01-01T17:00:00"/>
    <s v="Wed"/>
    <x v="6"/>
  </r>
  <r>
    <x v="0"/>
    <d v="1899-12-30T19:00:00"/>
    <x v="6"/>
    <x v="1"/>
    <n v="1"/>
    <n v="16"/>
    <x v="2"/>
    <x v="2"/>
    <x v="3"/>
    <d v="2025-01-01T19:00:00"/>
    <s v="Wed"/>
    <x v="7"/>
  </r>
  <r>
    <x v="0"/>
    <d v="1899-12-30T20:00:00"/>
    <x v="6"/>
    <x v="1"/>
    <n v="2"/>
    <n v="16"/>
    <x v="1"/>
    <x v="0"/>
    <x v="7"/>
    <d v="2025-01-01T20:00:00"/>
    <s v="Wed"/>
    <x v="8"/>
  </r>
  <r>
    <x v="0"/>
    <d v="1899-12-30T20:00:00"/>
    <x v="0"/>
    <x v="0"/>
    <n v="3"/>
    <n v="6"/>
    <x v="1"/>
    <x v="0"/>
    <x v="8"/>
    <d v="2025-01-01T20:00:00"/>
    <s v="Wed"/>
    <x v="8"/>
  </r>
  <r>
    <x v="0"/>
    <d v="1899-12-30T21:00:00"/>
    <x v="6"/>
    <x v="1"/>
    <n v="3"/>
    <n v="16"/>
    <x v="0"/>
    <x v="1"/>
    <x v="9"/>
    <d v="2025-01-01T21:00:00"/>
    <s v="Wed"/>
    <x v="9"/>
  </r>
  <r>
    <x v="0"/>
    <d v="1899-12-30T21:00:00"/>
    <x v="7"/>
    <x v="1"/>
    <n v="1"/>
    <n v="12"/>
    <x v="1"/>
    <x v="0"/>
    <x v="0"/>
    <d v="2025-01-01T21:00:00"/>
    <s v="Wed"/>
    <x v="9"/>
  </r>
  <r>
    <x v="1"/>
    <d v="1899-12-30T02:00:00"/>
    <x v="6"/>
    <x v="1"/>
    <n v="3"/>
    <n v="16"/>
    <x v="1"/>
    <x v="2"/>
    <x v="9"/>
    <d v="2025-01-02T02:00:00"/>
    <s v="Thu"/>
    <x v="10"/>
  </r>
  <r>
    <x v="1"/>
    <d v="1899-12-30T03:00:00"/>
    <x v="6"/>
    <x v="1"/>
    <n v="3"/>
    <n v="16"/>
    <x v="0"/>
    <x v="1"/>
    <x v="9"/>
    <d v="2025-01-02T03:00:00"/>
    <s v="Thu"/>
    <x v="11"/>
  </r>
  <r>
    <x v="1"/>
    <d v="1899-12-30T03:00:00"/>
    <x v="7"/>
    <x v="1"/>
    <n v="2"/>
    <n v="12"/>
    <x v="0"/>
    <x v="0"/>
    <x v="10"/>
    <d v="2025-01-02T03:00:00"/>
    <s v="Thu"/>
    <x v="11"/>
  </r>
  <r>
    <x v="1"/>
    <d v="1899-12-30T08:00:00"/>
    <x v="4"/>
    <x v="1"/>
    <n v="2"/>
    <n v="14"/>
    <x v="1"/>
    <x v="2"/>
    <x v="6"/>
    <d v="2025-01-02T08:00:00"/>
    <s v="Thu"/>
    <x v="2"/>
  </r>
  <r>
    <x v="1"/>
    <d v="1899-12-30T08:00:00"/>
    <x v="7"/>
    <x v="1"/>
    <n v="3"/>
    <n v="12"/>
    <x v="2"/>
    <x v="1"/>
    <x v="11"/>
    <d v="2025-01-02T08:00:00"/>
    <s v="Thu"/>
    <x v="2"/>
  </r>
  <r>
    <x v="1"/>
    <d v="1899-12-30T10:00:00"/>
    <x v="7"/>
    <x v="1"/>
    <n v="2"/>
    <n v="12"/>
    <x v="1"/>
    <x v="0"/>
    <x v="10"/>
    <d v="2025-01-02T10:00:00"/>
    <s v="Thu"/>
    <x v="12"/>
  </r>
  <r>
    <x v="1"/>
    <d v="1899-12-30T11:00:00"/>
    <x v="4"/>
    <x v="1"/>
    <n v="3"/>
    <n v="14"/>
    <x v="2"/>
    <x v="0"/>
    <x v="4"/>
    <d v="2025-01-02T11:00:00"/>
    <s v="Thu"/>
    <x v="13"/>
  </r>
  <r>
    <x v="1"/>
    <d v="1899-12-30T11:00:00"/>
    <x v="2"/>
    <x v="1"/>
    <n v="2"/>
    <n v="10"/>
    <x v="0"/>
    <x v="0"/>
    <x v="12"/>
    <d v="2025-01-02T11:00:00"/>
    <s v="Thu"/>
    <x v="13"/>
  </r>
  <r>
    <x v="1"/>
    <d v="1899-12-30T12:00:00"/>
    <x v="5"/>
    <x v="1"/>
    <n v="1"/>
    <n v="15"/>
    <x v="0"/>
    <x v="2"/>
    <x v="13"/>
    <d v="2025-01-02T12:00:00"/>
    <s v="Thu"/>
    <x v="14"/>
  </r>
  <r>
    <x v="1"/>
    <d v="1899-12-30T12:00:00"/>
    <x v="2"/>
    <x v="1"/>
    <n v="2"/>
    <n v="10"/>
    <x v="1"/>
    <x v="1"/>
    <x v="12"/>
    <d v="2025-01-02T12:00:00"/>
    <s v="Thu"/>
    <x v="14"/>
  </r>
  <r>
    <x v="1"/>
    <d v="1899-12-30T13:00:00"/>
    <x v="0"/>
    <x v="0"/>
    <n v="2"/>
    <n v="6"/>
    <x v="1"/>
    <x v="0"/>
    <x v="0"/>
    <d v="2025-01-02T13:00:00"/>
    <s v="Thu"/>
    <x v="3"/>
  </r>
  <r>
    <x v="1"/>
    <d v="1899-12-30T14:00:00"/>
    <x v="7"/>
    <x v="1"/>
    <n v="2"/>
    <n v="12"/>
    <x v="1"/>
    <x v="2"/>
    <x v="10"/>
    <d v="2025-01-02T14:00:00"/>
    <s v="Thu"/>
    <x v="4"/>
  </r>
  <r>
    <x v="1"/>
    <d v="1899-12-30T16:00:00"/>
    <x v="8"/>
    <x v="0"/>
    <n v="1"/>
    <n v="18"/>
    <x v="1"/>
    <x v="0"/>
    <x v="8"/>
    <d v="2025-01-02T16:00:00"/>
    <s v="Thu"/>
    <x v="5"/>
  </r>
  <r>
    <x v="1"/>
    <d v="1899-12-30T16:00:00"/>
    <x v="0"/>
    <x v="0"/>
    <n v="1"/>
    <n v="6"/>
    <x v="1"/>
    <x v="1"/>
    <x v="14"/>
    <d v="2025-01-02T16:00:00"/>
    <s v="Thu"/>
    <x v="5"/>
  </r>
  <r>
    <x v="1"/>
    <d v="1899-12-30T21:00:00"/>
    <x v="2"/>
    <x v="1"/>
    <n v="3"/>
    <n v="10"/>
    <x v="1"/>
    <x v="0"/>
    <x v="5"/>
    <d v="2025-01-02T21:00:00"/>
    <s v="Thu"/>
    <x v="9"/>
  </r>
  <r>
    <x v="1"/>
    <d v="1899-12-30T23:00:00"/>
    <x v="3"/>
    <x v="0"/>
    <n v="3"/>
    <n v="8"/>
    <x v="2"/>
    <x v="1"/>
    <x v="10"/>
    <d v="2025-01-02T23:00:00"/>
    <s v="Thu"/>
    <x v="15"/>
  </r>
  <r>
    <x v="2"/>
    <d v="1899-12-30T00:00:00"/>
    <x v="2"/>
    <x v="1"/>
    <n v="3"/>
    <n v="10"/>
    <x v="1"/>
    <x v="2"/>
    <x v="5"/>
    <d v="2025-01-03T00:00:00"/>
    <s v="Fri"/>
    <x v="16"/>
  </r>
  <r>
    <x v="2"/>
    <d v="1899-12-30T02:00:00"/>
    <x v="9"/>
    <x v="0"/>
    <n v="2"/>
    <n v="17"/>
    <x v="2"/>
    <x v="2"/>
    <x v="15"/>
    <d v="2025-01-03T02:00:00"/>
    <s v="Fri"/>
    <x v="10"/>
  </r>
  <r>
    <x v="2"/>
    <d v="1899-12-30T04:00:00"/>
    <x v="9"/>
    <x v="0"/>
    <n v="2"/>
    <n v="17"/>
    <x v="0"/>
    <x v="0"/>
    <x v="15"/>
    <d v="2025-01-03T04:00:00"/>
    <s v="Fri"/>
    <x v="1"/>
  </r>
  <r>
    <x v="2"/>
    <d v="1899-12-30T04:00:00"/>
    <x v="7"/>
    <x v="1"/>
    <n v="1"/>
    <n v="12"/>
    <x v="2"/>
    <x v="0"/>
    <x v="0"/>
    <d v="2025-01-03T04:00:00"/>
    <s v="Fri"/>
    <x v="1"/>
  </r>
  <r>
    <x v="2"/>
    <d v="1899-12-30T05:00:00"/>
    <x v="3"/>
    <x v="0"/>
    <n v="2"/>
    <n v="8"/>
    <x v="1"/>
    <x v="2"/>
    <x v="3"/>
    <d v="2025-01-03T05:00:00"/>
    <s v="Fri"/>
    <x v="17"/>
  </r>
  <r>
    <x v="2"/>
    <d v="1899-12-30T10:00:00"/>
    <x v="0"/>
    <x v="0"/>
    <n v="3"/>
    <n v="6"/>
    <x v="0"/>
    <x v="0"/>
    <x v="8"/>
    <d v="2025-01-03T10:00:00"/>
    <s v="Fri"/>
    <x v="12"/>
  </r>
  <r>
    <x v="2"/>
    <d v="1899-12-30T14:00:00"/>
    <x v="9"/>
    <x v="0"/>
    <n v="3"/>
    <n v="17"/>
    <x v="0"/>
    <x v="1"/>
    <x v="16"/>
    <d v="2025-01-03T14:00:00"/>
    <s v="Fri"/>
    <x v="4"/>
  </r>
  <r>
    <x v="2"/>
    <d v="1899-12-30T16:00:00"/>
    <x v="9"/>
    <x v="0"/>
    <n v="3"/>
    <n v="17"/>
    <x v="0"/>
    <x v="2"/>
    <x v="16"/>
    <d v="2025-01-03T16:00:00"/>
    <s v="Fri"/>
    <x v="5"/>
  </r>
  <r>
    <x v="2"/>
    <d v="1899-12-30T23:00:00"/>
    <x v="3"/>
    <x v="0"/>
    <n v="2"/>
    <n v="8"/>
    <x v="1"/>
    <x v="2"/>
    <x v="3"/>
    <d v="2025-01-03T23:00:00"/>
    <s v="Fri"/>
    <x v="15"/>
  </r>
  <r>
    <x v="3"/>
    <d v="1899-12-30T08:00:00"/>
    <x v="3"/>
    <x v="0"/>
    <n v="1"/>
    <n v="8"/>
    <x v="1"/>
    <x v="0"/>
    <x v="17"/>
    <d v="2025-01-04T08:00:00"/>
    <s v="Sat"/>
    <x v="2"/>
  </r>
  <r>
    <x v="3"/>
    <d v="1899-12-30T08:00:00"/>
    <x v="9"/>
    <x v="0"/>
    <n v="2"/>
    <n v="17"/>
    <x v="1"/>
    <x v="1"/>
    <x v="15"/>
    <d v="2025-01-04T08:00:00"/>
    <s v="Sat"/>
    <x v="2"/>
  </r>
  <r>
    <x v="3"/>
    <d v="1899-12-30T13:00:00"/>
    <x v="1"/>
    <x v="0"/>
    <n v="3"/>
    <n v="9"/>
    <x v="1"/>
    <x v="0"/>
    <x v="1"/>
    <d v="2025-01-04T13:00:00"/>
    <s v="Sat"/>
    <x v="3"/>
  </r>
  <r>
    <x v="3"/>
    <d v="1899-12-30T15:00:00"/>
    <x v="9"/>
    <x v="0"/>
    <n v="2"/>
    <n v="17"/>
    <x v="1"/>
    <x v="0"/>
    <x v="15"/>
    <d v="2025-01-04T15:00:00"/>
    <s v="Sat"/>
    <x v="18"/>
  </r>
  <r>
    <x v="3"/>
    <d v="1899-12-30T19:00:00"/>
    <x v="6"/>
    <x v="1"/>
    <n v="2"/>
    <n v="16"/>
    <x v="2"/>
    <x v="0"/>
    <x v="7"/>
    <d v="2025-01-04T19:00:00"/>
    <s v="Sat"/>
    <x v="7"/>
  </r>
  <r>
    <x v="3"/>
    <d v="1899-12-30T19:00:00"/>
    <x v="2"/>
    <x v="1"/>
    <n v="2"/>
    <n v="10"/>
    <x v="1"/>
    <x v="1"/>
    <x v="12"/>
    <d v="2025-01-04T19:00:00"/>
    <s v="Sat"/>
    <x v="7"/>
  </r>
  <r>
    <x v="3"/>
    <d v="1899-12-30T23:00:00"/>
    <x v="9"/>
    <x v="0"/>
    <n v="1"/>
    <n v="17"/>
    <x v="1"/>
    <x v="0"/>
    <x v="18"/>
    <d v="2025-01-04T23:00:00"/>
    <s v="Sat"/>
    <x v="15"/>
  </r>
  <r>
    <x v="4"/>
    <d v="1899-12-30T02:00:00"/>
    <x v="4"/>
    <x v="1"/>
    <n v="1"/>
    <n v="14"/>
    <x v="1"/>
    <x v="2"/>
    <x v="19"/>
    <d v="2025-01-05T02:00:00"/>
    <s v="Sun"/>
    <x v="10"/>
  </r>
  <r>
    <x v="4"/>
    <d v="1899-12-30T02:00:00"/>
    <x v="0"/>
    <x v="0"/>
    <n v="2"/>
    <n v="6"/>
    <x v="1"/>
    <x v="2"/>
    <x v="0"/>
    <d v="2025-01-05T02:00:00"/>
    <s v="Sun"/>
    <x v="10"/>
  </r>
  <r>
    <x v="4"/>
    <d v="1899-12-30T02:00:00"/>
    <x v="5"/>
    <x v="1"/>
    <n v="2"/>
    <n v="15"/>
    <x v="0"/>
    <x v="0"/>
    <x v="5"/>
    <d v="2025-01-05T02:00:00"/>
    <s v="Sun"/>
    <x v="10"/>
  </r>
  <r>
    <x v="4"/>
    <d v="1899-12-30T02:00:00"/>
    <x v="9"/>
    <x v="0"/>
    <n v="3"/>
    <n v="17"/>
    <x v="1"/>
    <x v="2"/>
    <x v="16"/>
    <d v="2025-01-05T02:00:00"/>
    <s v="Sun"/>
    <x v="10"/>
  </r>
  <r>
    <x v="4"/>
    <d v="1899-12-30T02:00:00"/>
    <x v="9"/>
    <x v="0"/>
    <n v="3"/>
    <n v="17"/>
    <x v="1"/>
    <x v="0"/>
    <x v="16"/>
    <d v="2025-01-05T02:00:00"/>
    <s v="Sun"/>
    <x v="10"/>
  </r>
  <r>
    <x v="4"/>
    <d v="1899-12-30T03:00:00"/>
    <x v="2"/>
    <x v="1"/>
    <n v="2"/>
    <n v="10"/>
    <x v="1"/>
    <x v="1"/>
    <x v="12"/>
    <d v="2025-01-05T03:00:00"/>
    <s v="Sun"/>
    <x v="11"/>
  </r>
  <r>
    <x v="4"/>
    <d v="1899-12-30T06:00:00"/>
    <x v="6"/>
    <x v="1"/>
    <n v="2"/>
    <n v="16"/>
    <x v="2"/>
    <x v="1"/>
    <x v="7"/>
    <d v="2025-01-05T06:00:00"/>
    <s v="Sun"/>
    <x v="19"/>
  </r>
  <r>
    <x v="4"/>
    <d v="1899-12-30T07:00:00"/>
    <x v="7"/>
    <x v="1"/>
    <n v="3"/>
    <n v="12"/>
    <x v="1"/>
    <x v="0"/>
    <x v="11"/>
    <d v="2025-01-05T07:00:00"/>
    <s v="Sun"/>
    <x v="20"/>
  </r>
  <r>
    <x v="4"/>
    <d v="1899-12-30T07:00:00"/>
    <x v="9"/>
    <x v="0"/>
    <n v="1"/>
    <n v="17"/>
    <x v="1"/>
    <x v="2"/>
    <x v="18"/>
    <d v="2025-01-05T07:00:00"/>
    <s v="Sun"/>
    <x v="20"/>
  </r>
  <r>
    <x v="4"/>
    <d v="1899-12-30T09:00:00"/>
    <x v="6"/>
    <x v="1"/>
    <n v="2"/>
    <n v="16"/>
    <x v="1"/>
    <x v="1"/>
    <x v="7"/>
    <d v="2025-01-05T09:00:00"/>
    <s v="Sun"/>
    <x v="21"/>
  </r>
  <r>
    <x v="4"/>
    <d v="1899-12-30T10:00:00"/>
    <x v="9"/>
    <x v="0"/>
    <n v="3"/>
    <n v="17"/>
    <x v="0"/>
    <x v="1"/>
    <x v="16"/>
    <d v="2025-01-05T10:00:00"/>
    <s v="Sun"/>
    <x v="12"/>
  </r>
  <r>
    <x v="4"/>
    <d v="1899-12-30T15:00:00"/>
    <x v="8"/>
    <x v="0"/>
    <n v="2"/>
    <n v="18"/>
    <x v="1"/>
    <x v="2"/>
    <x v="11"/>
    <d v="2025-01-05T15:00:00"/>
    <s v="Sun"/>
    <x v="18"/>
  </r>
  <r>
    <x v="4"/>
    <d v="1899-12-30T16:00:00"/>
    <x v="8"/>
    <x v="0"/>
    <n v="2"/>
    <n v="18"/>
    <x v="0"/>
    <x v="2"/>
    <x v="11"/>
    <d v="2025-01-05T16:00:00"/>
    <s v="Sun"/>
    <x v="5"/>
  </r>
  <r>
    <x v="4"/>
    <d v="1899-12-30T16:00:00"/>
    <x v="0"/>
    <x v="0"/>
    <n v="2"/>
    <n v="6"/>
    <x v="0"/>
    <x v="0"/>
    <x v="0"/>
    <d v="2025-01-05T16:00:00"/>
    <s v="Sun"/>
    <x v="5"/>
  </r>
  <r>
    <x v="4"/>
    <d v="1899-12-30T16:00:00"/>
    <x v="7"/>
    <x v="1"/>
    <n v="3"/>
    <n v="12"/>
    <x v="1"/>
    <x v="2"/>
    <x v="11"/>
    <d v="2025-01-05T16:00:00"/>
    <s v="Sun"/>
    <x v="5"/>
  </r>
  <r>
    <x v="4"/>
    <d v="1899-12-30T19:00:00"/>
    <x v="2"/>
    <x v="1"/>
    <n v="1"/>
    <n v="10"/>
    <x v="1"/>
    <x v="2"/>
    <x v="2"/>
    <d v="2025-01-05T19:00:00"/>
    <s v="Sun"/>
    <x v="7"/>
  </r>
  <r>
    <x v="4"/>
    <d v="1899-12-30T23:00:00"/>
    <x v="4"/>
    <x v="1"/>
    <n v="1"/>
    <n v="14"/>
    <x v="2"/>
    <x v="2"/>
    <x v="19"/>
    <d v="2025-01-05T23:00:00"/>
    <s v="Sun"/>
    <x v="15"/>
  </r>
  <r>
    <x v="5"/>
    <d v="1899-12-30T01:00:00"/>
    <x v="6"/>
    <x v="1"/>
    <n v="3"/>
    <n v="16"/>
    <x v="2"/>
    <x v="0"/>
    <x v="9"/>
    <d v="2025-01-06T01:00:00"/>
    <s v="Mon"/>
    <x v="0"/>
  </r>
  <r>
    <x v="5"/>
    <d v="1899-12-30T02:00:00"/>
    <x v="5"/>
    <x v="1"/>
    <n v="3"/>
    <n v="15"/>
    <x v="0"/>
    <x v="0"/>
    <x v="20"/>
    <d v="2025-01-06T02:00:00"/>
    <s v="Mon"/>
    <x v="10"/>
  </r>
  <r>
    <x v="5"/>
    <d v="1899-12-30T03:00:00"/>
    <x v="2"/>
    <x v="1"/>
    <n v="2"/>
    <n v="10"/>
    <x v="1"/>
    <x v="1"/>
    <x v="12"/>
    <d v="2025-01-06T03:00:00"/>
    <s v="Mon"/>
    <x v="11"/>
  </r>
  <r>
    <x v="5"/>
    <d v="1899-12-30T04:00:00"/>
    <x v="2"/>
    <x v="1"/>
    <n v="3"/>
    <n v="10"/>
    <x v="1"/>
    <x v="0"/>
    <x v="5"/>
    <d v="2025-01-06T04:00:00"/>
    <s v="Mon"/>
    <x v="1"/>
  </r>
  <r>
    <x v="5"/>
    <d v="1899-12-30T07:00:00"/>
    <x v="1"/>
    <x v="0"/>
    <n v="3"/>
    <n v="9"/>
    <x v="1"/>
    <x v="1"/>
    <x v="1"/>
    <d v="2025-01-06T07:00:00"/>
    <s v="Mon"/>
    <x v="20"/>
  </r>
  <r>
    <x v="5"/>
    <d v="1899-12-30T08:00:00"/>
    <x v="5"/>
    <x v="1"/>
    <n v="1"/>
    <n v="15"/>
    <x v="1"/>
    <x v="0"/>
    <x v="13"/>
    <d v="2025-01-06T08:00:00"/>
    <s v="Mon"/>
    <x v="2"/>
  </r>
  <r>
    <x v="5"/>
    <d v="1899-12-30T09:00:00"/>
    <x v="3"/>
    <x v="0"/>
    <n v="2"/>
    <n v="8"/>
    <x v="1"/>
    <x v="2"/>
    <x v="3"/>
    <d v="2025-01-06T09:00:00"/>
    <s v="Mon"/>
    <x v="21"/>
  </r>
  <r>
    <x v="5"/>
    <d v="1899-12-30T10:00:00"/>
    <x v="6"/>
    <x v="1"/>
    <n v="2"/>
    <n v="16"/>
    <x v="2"/>
    <x v="2"/>
    <x v="7"/>
    <d v="2025-01-06T10:00:00"/>
    <s v="Mon"/>
    <x v="12"/>
  </r>
  <r>
    <x v="5"/>
    <d v="1899-12-30T10:00:00"/>
    <x v="6"/>
    <x v="1"/>
    <n v="1"/>
    <n v="16"/>
    <x v="1"/>
    <x v="0"/>
    <x v="3"/>
    <d v="2025-01-06T10:00:00"/>
    <s v="Mon"/>
    <x v="12"/>
  </r>
  <r>
    <x v="5"/>
    <d v="1899-12-30T10:00:00"/>
    <x v="6"/>
    <x v="1"/>
    <n v="2"/>
    <n v="16"/>
    <x v="0"/>
    <x v="0"/>
    <x v="7"/>
    <d v="2025-01-06T10:00:00"/>
    <s v="Mon"/>
    <x v="12"/>
  </r>
  <r>
    <x v="5"/>
    <d v="1899-12-30T14:00:00"/>
    <x v="7"/>
    <x v="1"/>
    <n v="2"/>
    <n v="12"/>
    <x v="1"/>
    <x v="2"/>
    <x v="10"/>
    <d v="2025-01-06T14:00:00"/>
    <s v="Mon"/>
    <x v="4"/>
  </r>
  <r>
    <x v="5"/>
    <d v="1899-12-30T14:00:00"/>
    <x v="5"/>
    <x v="1"/>
    <n v="3"/>
    <n v="15"/>
    <x v="0"/>
    <x v="2"/>
    <x v="20"/>
    <d v="2025-01-06T14:00:00"/>
    <s v="Mon"/>
    <x v="4"/>
  </r>
  <r>
    <x v="5"/>
    <d v="1899-12-30T18:00:00"/>
    <x v="5"/>
    <x v="1"/>
    <n v="2"/>
    <n v="15"/>
    <x v="1"/>
    <x v="2"/>
    <x v="5"/>
    <d v="2025-01-06T18:00:00"/>
    <s v="Mon"/>
    <x v="22"/>
  </r>
  <r>
    <x v="5"/>
    <d v="1899-12-30T22:00:00"/>
    <x v="2"/>
    <x v="1"/>
    <n v="2"/>
    <n v="10"/>
    <x v="2"/>
    <x v="0"/>
    <x v="12"/>
    <d v="2025-01-06T22:00:00"/>
    <s v="Mon"/>
    <x v="23"/>
  </r>
  <r>
    <x v="5"/>
    <d v="1899-12-30T23:00:00"/>
    <x v="9"/>
    <x v="0"/>
    <n v="1"/>
    <n v="17"/>
    <x v="0"/>
    <x v="0"/>
    <x v="18"/>
    <d v="2025-01-06T23:00:00"/>
    <s v="Mon"/>
    <x v="15"/>
  </r>
  <r>
    <x v="5"/>
    <d v="1899-12-30T23:00:00"/>
    <x v="6"/>
    <x v="1"/>
    <n v="1"/>
    <n v="16"/>
    <x v="1"/>
    <x v="1"/>
    <x v="3"/>
    <d v="2025-01-06T23:00:00"/>
    <s v="Mon"/>
    <x v="15"/>
  </r>
  <r>
    <x v="6"/>
    <d v="1899-12-30T02:00:00"/>
    <x v="3"/>
    <x v="0"/>
    <n v="2"/>
    <n v="8"/>
    <x v="1"/>
    <x v="1"/>
    <x v="3"/>
    <d v="2025-01-07T02:00:00"/>
    <s v="Tue"/>
    <x v="10"/>
  </r>
  <r>
    <x v="6"/>
    <d v="1899-12-30T03:00:00"/>
    <x v="5"/>
    <x v="1"/>
    <n v="2"/>
    <n v="15"/>
    <x v="1"/>
    <x v="2"/>
    <x v="5"/>
    <d v="2025-01-07T03:00:00"/>
    <s v="Tue"/>
    <x v="11"/>
  </r>
  <r>
    <x v="6"/>
    <d v="1899-12-30T05:00:00"/>
    <x v="4"/>
    <x v="1"/>
    <n v="3"/>
    <n v="14"/>
    <x v="1"/>
    <x v="2"/>
    <x v="4"/>
    <d v="2025-01-07T05:00:00"/>
    <s v="Tue"/>
    <x v="17"/>
  </r>
  <r>
    <x v="6"/>
    <d v="1899-12-30T06:00:00"/>
    <x v="2"/>
    <x v="1"/>
    <n v="3"/>
    <n v="10"/>
    <x v="1"/>
    <x v="2"/>
    <x v="5"/>
    <d v="2025-01-07T06:00:00"/>
    <s v="Tue"/>
    <x v="19"/>
  </r>
  <r>
    <x v="6"/>
    <d v="1899-12-30T07:00:00"/>
    <x v="4"/>
    <x v="1"/>
    <n v="1"/>
    <n v="14"/>
    <x v="2"/>
    <x v="0"/>
    <x v="19"/>
    <d v="2025-01-07T07:00:00"/>
    <s v="Tue"/>
    <x v="20"/>
  </r>
  <r>
    <x v="6"/>
    <d v="1899-12-30T08:00:00"/>
    <x v="8"/>
    <x v="0"/>
    <n v="1"/>
    <n v="18"/>
    <x v="1"/>
    <x v="0"/>
    <x v="8"/>
    <d v="2025-01-07T08:00:00"/>
    <s v="Tue"/>
    <x v="2"/>
  </r>
  <r>
    <x v="6"/>
    <d v="1899-12-30T10:00:00"/>
    <x v="8"/>
    <x v="0"/>
    <n v="1"/>
    <n v="18"/>
    <x v="2"/>
    <x v="2"/>
    <x v="8"/>
    <d v="2025-01-07T10:00:00"/>
    <s v="Tue"/>
    <x v="12"/>
  </r>
  <r>
    <x v="6"/>
    <d v="1899-12-30T12:00:00"/>
    <x v="4"/>
    <x v="1"/>
    <n v="3"/>
    <n v="14"/>
    <x v="0"/>
    <x v="0"/>
    <x v="4"/>
    <d v="2025-01-07T12:00:00"/>
    <s v="Tue"/>
    <x v="14"/>
  </r>
  <r>
    <x v="6"/>
    <d v="1899-12-30T13:00:00"/>
    <x v="1"/>
    <x v="0"/>
    <n v="1"/>
    <n v="9"/>
    <x v="1"/>
    <x v="2"/>
    <x v="21"/>
    <d v="2025-01-07T13:00:00"/>
    <s v="Tue"/>
    <x v="3"/>
  </r>
  <r>
    <x v="6"/>
    <d v="1899-12-30T15:00:00"/>
    <x v="5"/>
    <x v="1"/>
    <n v="1"/>
    <n v="15"/>
    <x v="0"/>
    <x v="0"/>
    <x v="13"/>
    <d v="2025-01-07T15:00:00"/>
    <s v="Tue"/>
    <x v="18"/>
  </r>
  <r>
    <x v="6"/>
    <d v="1899-12-30T15:00:00"/>
    <x v="6"/>
    <x v="1"/>
    <n v="2"/>
    <n v="16"/>
    <x v="0"/>
    <x v="0"/>
    <x v="7"/>
    <d v="2025-01-07T15:00:00"/>
    <s v="Tue"/>
    <x v="18"/>
  </r>
  <r>
    <x v="6"/>
    <d v="1899-12-30T16:00:00"/>
    <x v="6"/>
    <x v="1"/>
    <n v="2"/>
    <n v="16"/>
    <x v="0"/>
    <x v="2"/>
    <x v="7"/>
    <d v="2025-01-07T16:00:00"/>
    <s v="Tue"/>
    <x v="5"/>
  </r>
  <r>
    <x v="6"/>
    <d v="1899-12-30T16:00:00"/>
    <x v="0"/>
    <x v="0"/>
    <n v="2"/>
    <n v="6"/>
    <x v="1"/>
    <x v="2"/>
    <x v="0"/>
    <d v="2025-01-07T16:00:00"/>
    <s v="Tue"/>
    <x v="5"/>
  </r>
  <r>
    <x v="6"/>
    <d v="1899-12-30T16:00:00"/>
    <x v="9"/>
    <x v="0"/>
    <n v="2"/>
    <n v="17"/>
    <x v="1"/>
    <x v="2"/>
    <x v="15"/>
    <d v="2025-01-07T16:00:00"/>
    <s v="Tue"/>
    <x v="5"/>
  </r>
  <r>
    <x v="6"/>
    <d v="1899-12-30T17:00:00"/>
    <x v="8"/>
    <x v="0"/>
    <n v="2"/>
    <n v="18"/>
    <x v="0"/>
    <x v="0"/>
    <x v="11"/>
    <d v="2025-01-07T17:00:00"/>
    <s v="Tue"/>
    <x v="6"/>
  </r>
  <r>
    <x v="6"/>
    <d v="1899-12-30T18:00:00"/>
    <x v="2"/>
    <x v="1"/>
    <n v="2"/>
    <n v="10"/>
    <x v="1"/>
    <x v="0"/>
    <x v="12"/>
    <d v="2025-01-07T18:00:00"/>
    <s v="Tue"/>
    <x v="22"/>
  </r>
  <r>
    <x v="6"/>
    <d v="1899-12-30T22:00:00"/>
    <x v="4"/>
    <x v="1"/>
    <n v="1"/>
    <n v="14"/>
    <x v="2"/>
    <x v="2"/>
    <x v="19"/>
    <d v="2025-01-07T22:00:00"/>
    <s v="Tue"/>
    <x v="23"/>
  </r>
  <r>
    <x v="7"/>
    <d v="1899-12-30T02:00:00"/>
    <x v="8"/>
    <x v="0"/>
    <n v="2"/>
    <n v="18"/>
    <x v="0"/>
    <x v="2"/>
    <x v="11"/>
    <d v="2025-01-08T02:00:00"/>
    <s v="Wed"/>
    <x v="10"/>
  </r>
  <r>
    <x v="7"/>
    <d v="1899-12-30T03:00:00"/>
    <x v="8"/>
    <x v="0"/>
    <n v="2"/>
    <n v="18"/>
    <x v="1"/>
    <x v="0"/>
    <x v="11"/>
    <d v="2025-01-08T03:00:00"/>
    <s v="Wed"/>
    <x v="11"/>
  </r>
  <r>
    <x v="7"/>
    <d v="1899-12-30T07:00:00"/>
    <x v="8"/>
    <x v="0"/>
    <n v="3"/>
    <n v="18"/>
    <x v="1"/>
    <x v="1"/>
    <x v="22"/>
    <d v="2025-01-08T07:00:00"/>
    <s v="Wed"/>
    <x v="20"/>
  </r>
  <r>
    <x v="7"/>
    <d v="1899-12-30T12:00:00"/>
    <x v="5"/>
    <x v="1"/>
    <n v="2"/>
    <n v="15"/>
    <x v="1"/>
    <x v="0"/>
    <x v="5"/>
    <d v="2025-01-08T12:00:00"/>
    <s v="Wed"/>
    <x v="14"/>
  </r>
  <r>
    <x v="7"/>
    <d v="1899-12-30T15:00:00"/>
    <x v="9"/>
    <x v="0"/>
    <n v="3"/>
    <n v="17"/>
    <x v="1"/>
    <x v="0"/>
    <x v="16"/>
    <d v="2025-01-08T15:00:00"/>
    <s v="Wed"/>
    <x v="18"/>
  </r>
  <r>
    <x v="7"/>
    <d v="1899-12-30T18:00:00"/>
    <x v="9"/>
    <x v="0"/>
    <n v="1"/>
    <n v="17"/>
    <x v="0"/>
    <x v="0"/>
    <x v="18"/>
    <d v="2025-01-08T18:00:00"/>
    <s v="Wed"/>
    <x v="22"/>
  </r>
  <r>
    <x v="7"/>
    <d v="1899-12-30T19:00:00"/>
    <x v="9"/>
    <x v="0"/>
    <n v="1"/>
    <n v="17"/>
    <x v="1"/>
    <x v="2"/>
    <x v="18"/>
    <d v="2025-01-08T19:00:00"/>
    <s v="Wed"/>
    <x v="7"/>
  </r>
  <r>
    <x v="7"/>
    <d v="1899-12-30T21:00:00"/>
    <x v="0"/>
    <x v="0"/>
    <n v="3"/>
    <n v="6"/>
    <x v="1"/>
    <x v="2"/>
    <x v="8"/>
    <d v="2025-01-08T21:00:00"/>
    <s v="Wed"/>
    <x v="9"/>
  </r>
  <r>
    <x v="7"/>
    <d v="1899-12-30T21:00:00"/>
    <x v="7"/>
    <x v="1"/>
    <n v="3"/>
    <n v="12"/>
    <x v="1"/>
    <x v="2"/>
    <x v="11"/>
    <d v="2025-01-08T21:00:00"/>
    <s v="Wed"/>
    <x v="9"/>
  </r>
  <r>
    <x v="7"/>
    <d v="1899-12-30T21:00:00"/>
    <x v="8"/>
    <x v="0"/>
    <n v="1"/>
    <n v="18"/>
    <x v="1"/>
    <x v="0"/>
    <x v="8"/>
    <d v="2025-01-08T21:00:00"/>
    <s v="Wed"/>
    <x v="9"/>
  </r>
  <r>
    <x v="7"/>
    <d v="1899-12-30T22:00:00"/>
    <x v="6"/>
    <x v="1"/>
    <n v="2"/>
    <n v="16"/>
    <x v="1"/>
    <x v="2"/>
    <x v="7"/>
    <d v="2025-01-08T22:00:00"/>
    <s v="Wed"/>
    <x v="23"/>
  </r>
  <r>
    <x v="7"/>
    <d v="1899-12-30T23:00:00"/>
    <x v="8"/>
    <x v="0"/>
    <n v="3"/>
    <n v="18"/>
    <x v="2"/>
    <x v="2"/>
    <x v="22"/>
    <d v="2025-01-08T23:00:00"/>
    <s v="Wed"/>
    <x v="15"/>
  </r>
  <r>
    <x v="7"/>
    <d v="1899-12-30T23:00:00"/>
    <x v="2"/>
    <x v="1"/>
    <n v="1"/>
    <n v="10"/>
    <x v="0"/>
    <x v="0"/>
    <x v="2"/>
    <d v="2025-01-08T23:00:00"/>
    <s v="Wed"/>
    <x v="15"/>
  </r>
  <r>
    <x v="8"/>
    <d v="1899-12-30T02:00:00"/>
    <x v="3"/>
    <x v="0"/>
    <n v="2"/>
    <n v="8"/>
    <x v="0"/>
    <x v="0"/>
    <x v="3"/>
    <d v="2025-01-09T02:00:00"/>
    <s v="Thu"/>
    <x v="10"/>
  </r>
  <r>
    <x v="8"/>
    <d v="1899-12-30T05:00:00"/>
    <x v="8"/>
    <x v="0"/>
    <n v="3"/>
    <n v="18"/>
    <x v="1"/>
    <x v="0"/>
    <x v="22"/>
    <d v="2025-01-09T05:00:00"/>
    <s v="Thu"/>
    <x v="17"/>
  </r>
  <r>
    <x v="8"/>
    <d v="1899-12-30T08:00:00"/>
    <x v="8"/>
    <x v="0"/>
    <n v="1"/>
    <n v="18"/>
    <x v="2"/>
    <x v="0"/>
    <x v="8"/>
    <d v="2025-01-09T08:00:00"/>
    <s v="Thu"/>
    <x v="2"/>
  </r>
  <r>
    <x v="8"/>
    <d v="1899-12-30T08:00:00"/>
    <x v="5"/>
    <x v="1"/>
    <n v="3"/>
    <n v="15"/>
    <x v="1"/>
    <x v="1"/>
    <x v="20"/>
    <d v="2025-01-09T08:00:00"/>
    <s v="Thu"/>
    <x v="2"/>
  </r>
  <r>
    <x v="8"/>
    <d v="1899-12-30T09:00:00"/>
    <x v="2"/>
    <x v="1"/>
    <n v="2"/>
    <n v="10"/>
    <x v="0"/>
    <x v="2"/>
    <x v="12"/>
    <d v="2025-01-09T09:00:00"/>
    <s v="Thu"/>
    <x v="21"/>
  </r>
  <r>
    <x v="8"/>
    <d v="1899-12-30T10:00:00"/>
    <x v="9"/>
    <x v="0"/>
    <n v="2"/>
    <n v="17"/>
    <x v="1"/>
    <x v="2"/>
    <x v="15"/>
    <d v="2025-01-09T10:00:00"/>
    <s v="Thu"/>
    <x v="12"/>
  </r>
  <r>
    <x v="8"/>
    <d v="1899-12-30T13:00:00"/>
    <x v="4"/>
    <x v="1"/>
    <n v="1"/>
    <n v="14"/>
    <x v="1"/>
    <x v="0"/>
    <x v="19"/>
    <d v="2025-01-09T13:00:00"/>
    <s v="Thu"/>
    <x v="3"/>
  </r>
  <r>
    <x v="8"/>
    <d v="1899-12-30T14:00:00"/>
    <x v="1"/>
    <x v="0"/>
    <n v="3"/>
    <n v="9"/>
    <x v="0"/>
    <x v="2"/>
    <x v="1"/>
    <d v="2025-01-09T14:00:00"/>
    <s v="Thu"/>
    <x v="4"/>
  </r>
  <r>
    <x v="8"/>
    <d v="1899-12-30T15:00:00"/>
    <x v="2"/>
    <x v="1"/>
    <n v="2"/>
    <n v="10"/>
    <x v="1"/>
    <x v="0"/>
    <x v="12"/>
    <d v="2025-01-09T15:00:00"/>
    <s v="Thu"/>
    <x v="18"/>
  </r>
  <r>
    <x v="8"/>
    <d v="1899-12-30T22:00:00"/>
    <x v="7"/>
    <x v="1"/>
    <n v="1"/>
    <n v="12"/>
    <x v="1"/>
    <x v="0"/>
    <x v="0"/>
    <d v="2025-01-09T22:00:00"/>
    <s v="Thu"/>
    <x v="23"/>
  </r>
  <r>
    <x v="9"/>
    <d v="1899-12-30T00:00:00"/>
    <x v="5"/>
    <x v="1"/>
    <n v="2"/>
    <n v="15"/>
    <x v="1"/>
    <x v="2"/>
    <x v="5"/>
    <d v="2025-01-10T00:00:00"/>
    <s v="Fri"/>
    <x v="16"/>
  </r>
  <r>
    <x v="9"/>
    <d v="1899-12-30T01:00:00"/>
    <x v="5"/>
    <x v="1"/>
    <n v="1"/>
    <n v="15"/>
    <x v="1"/>
    <x v="0"/>
    <x v="13"/>
    <d v="2025-01-10T01:00:00"/>
    <s v="Fri"/>
    <x v="0"/>
  </r>
  <r>
    <x v="9"/>
    <d v="1899-12-30T03:00:00"/>
    <x v="6"/>
    <x v="1"/>
    <n v="1"/>
    <n v="16"/>
    <x v="1"/>
    <x v="2"/>
    <x v="3"/>
    <d v="2025-01-10T03:00:00"/>
    <s v="Fri"/>
    <x v="11"/>
  </r>
  <r>
    <x v="9"/>
    <d v="1899-12-30T03:00:00"/>
    <x v="8"/>
    <x v="0"/>
    <n v="2"/>
    <n v="18"/>
    <x v="1"/>
    <x v="0"/>
    <x v="11"/>
    <d v="2025-01-10T03:00:00"/>
    <s v="Fri"/>
    <x v="11"/>
  </r>
  <r>
    <x v="9"/>
    <d v="1899-12-30T08:00:00"/>
    <x v="2"/>
    <x v="1"/>
    <n v="1"/>
    <n v="10"/>
    <x v="1"/>
    <x v="1"/>
    <x v="2"/>
    <d v="2025-01-10T08:00:00"/>
    <s v="Fri"/>
    <x v="2"/>
  </r>
  <r>
    <x v="9"/>
    <d v="1899-12-30T08:00:00"/>
    <x v="6"/>
    <x v="1"/>
    <n v="3"/>
    <n v="16"/>
    <x v="2"/>
    <x v="0"/>
    <x v="9"/>
    <d v="2025-01-10T08:00:00"/>
    <s v="Fri"/>
    <x v="2"/>
  </r>
  <r>
    <x v="9"/>
    <d v="1899-12-30T08:00:00"/>
    <x v="4"/>
    <x v="1"/>
    <n v="1"/>
    <n v="14"/>
    <x v="1"/>
    <x v="2"/>
    <x v="19"/>
    <d v="2025-01-10T08:00:00"/>
    <s v="Fri"/>
    <x v="2"/>
  </r>
  <r>
    <x v="9"/>
    <d v="1899-12-30T09:00:00"/>
    <x v="8"/>
    <x v="0"/>
    <n v="3"/>
    <n v="18"/>
    <x v="1"/>
    <x v="0"/>
    <x v="22"/>
    <d v="2025-01-10T09:00:00"/>
    <s v="Fri"/>
    <x v="21"/>
  </r>
  <r>
    <x v="9"/>
    <d v="1899-12-30T10:00:00"/>
    <x v="4"/>
    <x v="1"/>
    <n v="1"/>
    <n v="14"/>
    <x v="0"/>
    <x v="0"/>
    <x v="19"/>
    <d v="2025-01-10T10:00:00"/>
    <s v="Fri"/>
    <x v="12"/>
  </r>
  <r>
    <x v="9"/>
    <d v="1899-12-30T13:00:00"/>
    <x v="0"/>
    <x v="0"/>
    <n v="2"/>
    <n v="6"/>
    <x v="1"/>
    <x v="1"/>
    <x v="0"/>
    <d v="2025-01-10T13:00:00"/>
    <s v="Fri"/>
    <x v="3"/>
  </r>
  <r>
    <x v="9"/>
    <d v="1899-12-30T14:00:00"/>
    <x v="9"/>
    <x v="0"/>
    <n v="2"/>
    <n v="17"/>
    <x v="1"/>
    <x v="2"/>
    <x v="15"/>
    <d v="2025-01-10T14:00:00"/>
    <s v="Fri"/>
    <x v="4"/>
  </r>
  <r>
    <x v="9"/>
    <d v="1899-12-30T14:00:00"/>
    <x v="4"/>
    <x v="1"/>
    <n v="1"/>
    <n v="14"/>
    <x v="1"/>
    <x v="2"/>
    <x v="19"/>
    <d v="2025-01-10T14:00:00"/>
    <s v="Fri"/>
    <x v="4"/>
  </r>
  <r>
    <x v="9"/>
    <d v="1899-12-30T14:00:00"/>
    <x v="2"/>
    <x v="1"/>
    <n v="1"/>
    <n v="10"/>
    <x v="1"/>
    <x v="0"/>
    <x v="2"/>
    <d v="2025-01-10T14:00:00"/>
    <s v="Fri"/>
    <x v="4"/>
  </r>
  <r>
    <x v="9"/>
    <d v="1899-12-30T16:00:00"/>
    <x v="5"/>
    <x v="1"/>
    <n v="2"/>
    <n v="15"/>
    <x v="0"/>
    <x v="0"/>
    <x v="5"/>
    <d v="2025-01-10T16:00:00"/>
    <s v="Fri"/>
    <x v="5"/>
  </r>
  <r>
    <x v="9"/>
    <d v="1899-12-30T16:00:00"/>
    <x v="3"/>
    <x v="0"/>
    <n v="3"/>
    <n v="8"/>
    <x v="1"/>
    <x v="0"/>
    <x v="10"/>
    <d v="2025-01-10T16:00:00"/>
    <s v="Fri"/>
    <x v="5"/>
  </r>
  <r>
    <x v="9"/>
    <d v="1899-12-30T17:00:00"/>
    <x v="4"/>
    <x v="1"/>
    <n v="2"/>
    <n v="14"/>
    <x v="0"/>
    <x v="2"/>
    <x v="6"/>
    <d v="2025-01-10T17:00:00"/>
    <s v="Fri"/>
    <x v="6"/>
  </r>
  <r>
    <x v="10"/>
    <d v="1899-12-30T00:00:00"/>
    <x v="2"/>
    <x v="1"/>
    <n v="2"/>
    <n v="10"/>
    <x v="1"/>
    <x v="2"/>
    <x v="12"/>
    <d v="2025-01-11T00:00:00"/>
    <s v="Sat"/>
    <x v="16"/>
  </r>
  <r>
    <x v="10"/>
    <d v="1899-12-30T01:00:00"/>
    <x v="1"/>
    <x v="0"/>
    <n v="1"/>
    <n v="9"/>
    <x v="1"/>
    <x v="0"/>
    <x v="21"/>
    <d v="2025-01-11T01:00:00"/>
    <s v="Sat"/>
    <x v="0"/>
  </r>
  <r>
    <x v="10"/>
    <d v="1899-12-30T02:00:00"/>
    <x v="3"/>
    <x v="0"/>
    <n v="1"/>
    <n v="8"/>
    <x v="0"/>
    <x v="2"/>
    <x v="17"/>
    <d v="2025-01-11T02:00:00"/>
    <s v="Sat"/>
    <x v="10"/>
  </r>
  <r>
    <x v="10"/>
    <d v="1899-12-30T03:00:00"/>
    <x v="0"/>
    <x v="0"/>
    <n v="1"/>
    <n v="6"/>
    <x v="1"/>
    <x v="0"/>
    <x v="14"/>
    <d v="2025-01-11T03:00:00"/>
    <s v="Sat"/>
    <x v="11"/>
  </r>
  <r>
    <x v="10"/>
    <d v="1899-12-30T05:00:00"/>
    <x v="1"/>
    <x v="0"/>
    <n v="1"/>
    <n v="9"/>
    <x v="0"/>
    <x v="1"/>
    <x v="21"/>
    <d v="2025-01-11T05:00:00"/>
    <s v="Sat"/>
    <x v="17"/>
  </r>
  <r>
    <x v="10"/>
    <d v="1899-12-30T06:00:00"/>
    <x v="8"/>
    <x v="0"/>
    <n v="3"/>
    <n v="18"/>
    <x v="1"/>
    <x v="0"/>
    <x v="22"/>
    <d v="2025-01-11T06:00:00"/>
    <s v="Sat"/>
    <x v="19"/>
  </r>
  <r>
    <x v="10"/>
    <d v="1899-12-30T11:00:00"/>
    <x v="7"/>
    <x v="1"/>
    <n v="1"/>
    <n v="12"/>
    <x v="1"/>
    <x v="2"/>
    <x v="0"/>
    <d v="2025-01-11T11:00:00"/>
    <s v="Sat"/>
    <x v="13"/>
  </r>
  <r>
    <x v="10"/>
    <d v="1899-12-30T12:00:00"/>
    <x v="4"/>
    <x v="1"/>
    <n v="2"/>
    <n v="14"/>
    <x v="0"/>
    <x v="0"/>
    <x v="6"/>
    <d v="2025-01-11T12:00:00"/>
    <s v="Sat"/>
    <x v="14"/>
  </r>
  <r>
    <x v="10"/>
    <d v="1899-12-30T12:00:00"/>
    <x v="0"/>
    <x v="0"/>
    <n v="2"/>
    <n v="6"/>
    <x v="0"/>
    <x v="2"/>
    <x v="0"/>
    <d v="2025-01-11T12:00:00"/>
    <s v="Sat"/>
    <x v="14"/>
  </r>
  <r>
    <x v="10"/>
    <d v="1899-12-30T13:00:00"/>
    <x v="0"/>
    <x v="0"/>
    <n v="2"/>
    <n v="6"/>
    <x v="1"/>
    <x v="1"/>
    <x v="0"/>
    <d v="2025-01-11T13:00:00"/>
    <s v="Sat"/>
    <x v="3"/>
  </r>
  <r>
    <x v="10"/>
    <d v="1899-12-30T13:00:00"/>
    <x v="8"/>
    <x v="0"/>
    <n v="2"/>
    <n v="18"/>
    <x v="0"/>
    <x v="0"/>
    <x v="11"/>
    <d v="2025-01-11T13:00:00"/>
    <s v="Sat"/>
    <x v="3"/>
  </r>
  <r>
    <x v="10"/>
    <d v="1899-12-30T15:00:00"/>
    <x v="8"/>
    <x v="0"/>
    <n v="3"/>
    <n v="18"/>
    <x v="2"/>
    <x v="2"/>
    <x v="22"/>
    <d v="2025-01-11T15:00:00"/>
    <s v="Sat"/>
    <x v="18"/>
  </r>
  <r>
    <x v="10"/>
    <d v="1899-12-30T18:00:00"/>
    <x v="7"/>
    <x v="1"/>
    <n v="1"/>
    <n v="12"/>
    <x v="2"/>
    <x v="2"/>
    <x v="0"/>
    <d v="2025-01-11T18:00:00"/>
    <s v="Sat"/>
    <x v="22"/>
  </r>
  <r>
    <x v="10"/>
    <d v="1899-12-30T22:00:00"/>
    <x v="0"/>
    <x v="0"/>
    <n v="1"/>
    <n v="6"/>
    <x v="1"/>
    <x v="2"/>
    <x v="14"/>
    <d v="2025-01-11T22:00:00"/>
    <s v="Sat"/>
    <x v="23"/>
  </r>
  <r>
    <x v="11"/>
    <d v="1899-12-30T03:00:00"/>
    <x v="1"/>
    <x v="0"/>
    <n v="3"/>
    <n v="9"/>
    <x v="1"/>
    <x v="1"/>
    <x v="1"/>
    <d v="2025-01-12T03:00:00"/>
    <s v="Sun"/>
    <x v="11"/>
  </r>
  <r>
    <x v="11"/>
    <d v="1899-12-30T05:00:00"/>
    <x v="1"/>
    <x v="0"/>
    <n v="3"/>
    <n v="9"/>
    <x v="1"/>
    <x v="0"/>
    <x v="1"/>
    <d v="2025-01-12T05:00:00"/>
    <s v="Sun"/>
    <x v="17"/>
  </r>
  <r>
    <x v="11"/>
    <d v="1899-12-30T06:00:00"/>
    <x v="6"/>
    <x v="1"/>
    <n v="2"/>
    <n v="16"/>
    <x v="1"/>
    <x v="0"/>
    <x v="7"/>
    <d v="2025-01-12T06:00:00"/>
    <s v="Sun"/>
    <x v="19"/>
  </r>
  <r>
    <x v="11"/>
    <d v="1899-12-30T06:00:00"/>
    <x v="9"/>
    <x v="0"/>
    <n v="1"/>
    <n v="17"/>
    <x v="1"/>
    <x v="2"/>
    <x v="18"/>
    <d v="2025-01-12T06:00:00"/>
    <s v="Sun"/>
    <x v="19"/>
  </r>
  <r>
    <x v="11"/>
    <d v="1899-12-30T09:00:00"/>
    <x v="8"/>
    <x v="0"/>
    <n v="3"/>
    <n v="18"/>
    <x v="1"/>
    <x v="0"/>
    <x v="22"/>
    <d v="2025-01-12T09:00:00"/>
    <s v="Sun"/>
    <x v="21"/>
  </r>
  <r>
    <x v="11"/>
    <d v="1899-12-30T12:00:00"/>
    <x v="9"/>
    <x v="0"/>
    <n v="2"/>
    <n v="17"/>
    <x v="1"/>
    <x v="0"/>
    <x v="15"/>
    <d v="2025-01-12T12:00:00"/>
    <s v="Sun"/>
    <x v="14"/>
  </r>
  <r>
    <x v="11"/>
    <d v="1899-12-30T12:00:00"/>
    <x v="9"/>
    <x v="0"/>
    <n v="3"/>
    <n v="17"/>
    <x v="1"/>
    <x v="2"/>
    <x v="16"/>
    <d v="2025-01-12T12:00:00"/>
    <s v="Sun"/>
    <x v="14"/>
  </r>
  <r>
    <x v="11"/>
    <d v="1899-12-30T12:00:00"/>
    <x v="1"/>
    <x v="0"/>
    <n v="2"/>
    <n v="9"/>
    <x v="1"/>
    <x v="2"/>
    <x v="8"/>
    <d v="2025-01-12T12:00:00"/>
    <s v="Sun"/>
    <x v="14"/>
  </r>
  <r>
    <x v="11"/>
    <d v="1899-12-30T15:00:00"/>
    <x v="2"/>
    <x v="1"/>
    <n v="3"/>
    <n v="10"/>
    <x v="0"/>
    <x v="1"/>
    <x v="5"/>
    <d v="2025-01-12T15:00:00"/>
    <s v="Sun"/>
    <x v="18"/>
  </r>
  <r>
    <x v="11"/>
    <d v="1899-12-30T15:00:00"/>
    <x v="1"/>
    <x v="0"/>
    <n v="1"/>
    <n v="9"/>
    <x v="1"/>
    <x v="2"/>
    <x v="21"/>
    <d v="2025-01-12T15:00:00"/>
    <s v="Sun"/>
    <x v="18"/>
  </r>
  <r>
    <x v="11"/>
    <d v="1899-12-30T18:00:00"/>
    <x v="8"/>
    <x v="0"/>
    <n v="1"/>
    <n v="18"/>
    <x v="1"/>
    <x v="2"/>
    <x v="8"/>
    <d v="2025-01-12T18:00:00"/>
    <s v="Sun"/>
    <x v="22"/>
  </r>
  <r>
    <x v="11"/>
    <d v="1899-12-30T18:00:00"/>
    <x v="1"/>
    <x v="0"/>
    <n v="2"/>
    <n v="9"/>
    <x v="0"/>
    <x v="2"/>
    <x v="8"/>
    <d v="2025-01-12T18:00:00"/>
    <s v="Sun"/>
    <x v="22"/>
  </r>
  <r>
    <x v="11"/>
    <d v="1899-12-30T19:00:00"/>
    <x v="3"/>
    <x v="0"/>
    <n v="1"/>
    <n v="8"/>
    <x v="2"/>
    <x v="0"/>
    <x v="17"/>
    <d v="2025-01-12T19:00:00"/>
    <s v="Sun"/>
    <x v="7"/>
  </r>
  <r>
    <x v="11"/>
    <d v="1899-12-30T23:00:00"/>
    <x v="1"/>
    <x v="0"/>
    <n v="2"/>
    <n v="9"/>
    <x v="0"/>
    <x v="1"/>
    <x v="8"/>
    <d v="2025-01-12T23:00:00"/>
    <s v="Sun"/>
    <x v="15"/>
  </r>
  <r>
    <x v="12"/>
    <d v="1899-12-30T00:00:00"/>
    <x v="2"/>
    <x v="1"/>
    <n v="3"/>
    <n v="10"/>
    <x v="1"/>
    <x v="0"/>
    <x v="5"/>
    <d v="2025-01-13T00:00:00"/>
    <s v="Mon"/>
    <x v="16"/>
  </r>
  <r>
    <x v="12"/>
    <d v="1899-12-30T05:00:00"/>
    <x v="3"/>
    <x v="0"/>
    <n v="3"/>
    <n v="8"/>
    <x v="0"/>
    <x v="1"/>
    <x v="10"/>
    <d v="2025-01-13T05:00:00"/>
    <s v="Mon"/>
    <x v="17"/>
  </r>
  <r>
    <x v="12"/>
    <d v="1899-12-30T07:00:00"/>
    <x v="2"/>
    <x v="1"/>
    <n v="1"/>
    <n v="10"/>
    <x v="1"/>
    <x v="1"/>
    <x v="2"/>
    <d v="2025-01-13T07:00:00"/>
    <s v="Mon"/>
    <x v="20"/>
  </r>
  <r>
    <x v="12"/>
    <d v="1899-12-30T09:00:00"/>
    <x v="4"/>
    <x v="1"/>
    <n v="2"/>
    <n v="14"/>
    <x v="0"/>
    <x v="2"/>
    <x v="6"/>
    <d v="2025-01-13T09:00:00"/>
    <s v="Mon"/>
    <x v="21"/>
  </r>
  <r>
    <x v="12"/>
    <d v="1899-12-30T13:00:00"/>
    <x v="5"/>
    <x v="1"/>
    <n v="2"/>
    <n v="15"/>
    <x v="1"/>
    <x v="2"/>
    <x v="5"/>
    <d v="2025-01-13T13:00:00"/>
    <s v="Mon"/>
    <x v="3"/>
  </r>
  <r>
    <x v="12"/>
    <d v="1899-12-30T15:00:00"/>
    <x v="1"/>
    <x v="0"/>
    <n v="3"/>
    <n v="9"/>
    <x v="0"/>
    <x v="0"/>
    <x v="1"/>
    <d v="2025-01-13T15:00:00"/>
    <s v="Mon"/>
    <x v="18"/>
  </r>
  <r>
    <x v="12"/>
    <d v="1899-12-30T20:00:00"/>
    <x v="3"/>
    <x v="0"/>
    <n v="3"/>
    <n v="8"/>
    <x v="1"/>
    <x v="0"/>
    <x v="10"/>
    <d v="2025-01-13T20:00:00"/>
    <s v="Mon"/>
    <x v="8"/>
  </r>
  <r>
    <x v="13"/>
    <d v="1899-12-30T01:00:00"/>
    <x v="4"/>
    <x v="1"/>
    <n v="2"/>
    <n v="14"/>
    <x v="1"/>
    <x v="1"/>
    <x v="6"/>
    <d v="2025-01-14T01:00:00"/>
    <s v="Tue"/>
    <x v="0"/>
  </r>
  <r>
    <x v="13"/>
    <d v="1899-12-30T03:00:00"/>
    <x v="3"/>
    <x v="0"/>
    <n v="2"/>
    <n v="8"/>
    <x v="1"/>
    <x v="2"/>
    <x v="3"/>
    <d v="2025-01-14T03:00:00"/>
    <s v="Tue"/>
    <x v="11"/>
  </r>
  <r>
    <x v="13"/>
    <d v="1899-12-30T05:00:00"/>
    <x v="9"/>
    <x v="0"/>
    <n v="3"/>
    <n v="17"/>
    <x v="0"/>
    <x v="0"/>
    <x v="16"/>
    <d v="2025-01-14T05:00:00"/>
    <s v="Tue"/>
    <x v="17"/>
  </r>
  <r>
    <x v="13"/>
    <d v="1899-12-30T08:00:00"/>
    <x v="8"/>
    <x v="0"/>
    <n v="2"/>
    <n v="18"/>
    <x v="1"/>
    <x v="2"/>
    <x v="11"/>
    <d v="2025-01-14T08:00:00"/>
    <s v="Tue"/>
    <x v="2"/>
  </r>
  <r>
    <x v="13"/>
    <d v="1899-12-30T10:00:00"/>
    <x v="4"/>
    <x v="1"/>
    <n v="1"/>
    <n v="14"/>
    <x v="1"/>
    <x v="2"/>
    <x v="19"/>
    <d v="2025-01-14T10:00:00"/>
    <s v="Tue"/>
    <x v="12"/>
  </r>
  <r>
    <x v="13"/>
    <d v="1899-12-30T10:00:00"/>
    <x v="4"/>
    <x v="1"/>
    <n v="2"/>
    <n v="14"/>
    <x v="1"/>
    <x v="1"/>
    <x v="6"/>
    <d v="2025-01-14T10:00:00"/>
    <s v="Tue"/>
    <x v="12"/>
  </r>
  <r>
    <x v="13"/>
    <d v="1899-12-30T13:00:00"/>
    <x v="7"/>
    <x v="1"/>
    <n v="1"/>
    <n v="12"/>
    <x v="0"/>
    <x v="2"/>
    <x v="0"/>
    <d v="2025-01-14T13:00:00"/>
    <s v="Tue"/>
    <x v="3"/>
  </r>
  <r>
    <x v="13"/>
    <d v="1899-12-30T18:00:00"/>
    <x v="3"/>
    <x v="0"/>
    <n v="2"/>
    <n v="8"/>
    <x v="0"/>
    <x v="0"/>
    <x v="3"/>
    <d v="2025-01-14T18:00:00"/>
    <s v="Tue"/>
    <x v="22"/>
  </r>
  <r>
    <x v="13"/>
    <d v="1899-12-30T18:00:00"/>
    <x v="3"/>
    <x v="0"/>
    <n v="1"/>
    <n v="8"/>
    <x v="0"/>
    <x v="0"/>
    <x v="17"/>
    <d v="2025-01-14T18:00:00"/>
    <s v="Tue"/>
    <x v="22"/>
  </r>
  <r>
    <x v="14"/>
    <d v="1899-12-30T01:00:00"/>
    <x v="7"/>
    <x v="1"/>
    <n v="1"/>
    <n v="12"/>
    <x v="1"/>
    <x v="1"/>
    <x v="0"/>
    <d v="2025-01-15T01:00:00"/>
    <s v="Wed"/>
    <x v="0"/>
  </r>
  <r>
    <x v="14"/>
    <d v="1899-12-30T01:00:00"/>
    <x v="6"/>
    <x v="1"/>
    <n v="3"/>
    <n v="16"/>
    <x v="0"/>
    <x v="0"/>
    <x v="9"/>
    <d v="2025-01-15T01:00:00"/>
    <s v="Wed"/>
    <x v="0"/>
  </r>
  <r>
    <x v="14"/>
    <d v="1899-12-30T01:00:00"/>
    <x v="3"/>
    <x v="0"/>
    <n v="3"/>
    <n v="8"/>
    <x v="0"/>
    <x v="2"/>
    <x v="10"/>
    <d v="2025-01-15T01:00:00"/>
    <s v="Wed"/>
    <x v="0"/>
  </r>
  <r>
    <x v="14"/>
    <d v="1899-12-30T03:00:00"/>
    <x v="1"/>
    <x v="0"/>
    <n v="2"/>
    <n v="9"/>
    <x v="1"/>
    <x v="1"/>
    <x v="8"/>
    <d v="2025-01-15T03:00:00"/>
    <s v="Wed"/>
    <x v="11"/>
  </r>
  <r>
    <x v="14"/>
    <d v="1899-12-30T03:00:00"/>
    <x v="4"/>
    <x v="1"/>
    <n v="2"/>
    <n v="14"/>
    <x v="1"/>
    <x v="0"/>
    <x v="6"/>
    <d v="2025-01-15T03:00:00"/>
    <s v="Wed"/>
    <x v="11"/>
  </r>
  <r>
    <x v="14"/>
    <d v="1899-12-30T07:00:00"/>
    <x v="0"/>
    <x v="0"/>
    <n v="2"/>
    <n v="6"/>
    <x v="1"/>
    <x v="1"/>
    <x v="0"/>
    <d v="2025-01-15T07:00:00"/>
    <s v="Wed"/>
    <x v="20"/>
  </r>
  <r>
    <x v="14"/>
    <d v="1899-12-30T07:00:00"/>
    <x v="2"/>
    <x v="1"/>
    <n v="2"/>
    <n v="10"/>
    <x v="0"/>
    <x v="0"/>
    <x v="12"/>
    <d v="2025-01-15T07:00:00"/>
    <s v="Wed"/>
    <x v="20"/>
  </r>
  <r>
    <x v="14"/>
    <d v="1899-12-30T09:00:00"/>
    <x v="8"/>
    <x v="0"/>
    <n v="2"/>
    <n v="18"/>
    <x v="1"/>
    <x v="0"/>
    <x v="11"/>
    <d v="2025-01-15T09:00:00"/>
    <s v="Wed"/>
    <x v="21"/>
  </r>
  <r>
    <x v="14"/>
    <d v="1899-12-30T09:00:00"/>
    <x v="1"/>
    <x v="0"/>
    <n v="2"/>
    <n v="9"/>
    <x v="1"/>
    <x v="1"/>
    <x v="8"/>
    <d v="2025-01-15T09:00:00"/>
    <s v="Wed"/>
    <x v="21"/>
  </r>
  <r>
    <x v="14"/>
    <d v="1899-12-30T09:00:00"/>
    <x v="0"/>
    <x v="0"/>
    <n v="1"/>
    <n v="6"/>
    <x v="0"/>
    <x v="0"/>
    <x v="14"/>
    <d v="2025-01-15T09:00:00"/>
    <s v="Wed"/>
    <x v="21"/>
  </r>
  <r>
    <x v="14"/>
    <d v="1899-12-30T11:00:00"/>
    <x v="1"/>
    <x v="0"/>
    <n v="2"/>
    <n v="9"/>
    <x v="1"/>
    <x v="1"/>
    <x v="8"/>
    <d v="2025-01-15T11:00:00"/>
    <s v="Wed"/>
    <x v="13"/>
  </r>
  <r>
    <x v="14"/>
    <d v="1899-12-30T12:00:00"/>
    <x v="9"/>
    <x v="0"/>
    <n v="2"/>
    <n v="17"/>
    <x v="0"/>
    <x v="2"/>
    <x v="15"/>
    <d v="2025-01-15T12:00:00"/>
    <s v="Wed"/>
    <x v="14"/>
  </r>
  <r>
    <x v="14"/>
    <d v="1899-12-30T12:00:00"/>
    <x v="1"/>
    <x v="0"/>
    <n v="2"/>
    <n v="9"/>
    <x v="1"/>
    <x v="0"/>
    <x v="8"/>
    <d v="2025-01-15T12:00:00"/>
    <s v="Wed"/>
    <x v="14"/>
  </r>
  <r>
    <x v="14"/>
    <d v="1899-12-30T17:00:00"/>
    <x v="1"/>
    <x v="0"/>
    <n v="1"/>
    <n v="9"/>
    <x v="0"/>
    <x v="0"/>
    <x v="21"/>
    <d v="2025-01-15T17:00:00"/>
    <s v="Wed"/>
    <x v="6"/>
  </r>
  <r>
    <x v="14"/>
    <d v="1899-12-30T22:00:00"/>
    <x v="8"/>
    <x v="0"/>
    <n v="2"/>
    <n v="18"/>
    <x v="1"/>
    <x v="2"/>
    <x v="11"/>
    <d v="2025-01-15T22:00:00"/>
    <s v="Wed"/>
    <x v="23"/>
  </r>
  <r>
    <x v="15"/>
    <d v="1899-12-30T04:00:00"/>
    <x v="3"/>
    <x v="0"/>
    <n v="2"/>
    <n v="8"/>
    <x v="2"/>
    <x v="2"/>
    <x v="3"/>
    <d v="2025-01-16T04:00:00"/>
    <s v="Thu"/>
    <x v="1"/>
  </r>
  <r>
    <x v="15"/>
    <d v="1899-12-30T06:00:00"/>
    <x v="0"/>
    <x v="0"/>
    <n v="2"/>
    <n v="6"/>
    <x v="0"/>
    <x v="0"/>
    <x v="0"/>
    <d v="2025-01-16T06:00:00"/>
    <s v="Thu"/>
    <x v="19"/>
  </r>
  <r>
    <x v="15"/>
    <d v="1899-12-30T12:00:00"/>
    <x v="2"/>
    <x v="1"/>
    <n v="3"/>
    <n v="10"/>
    <x v="0"/>
    <x v="2"/>
    <x v="5"/>
    <d v="2025-01-16T12:00:00"/>
    <s v="Thu"/>
    <x v="14"/>
  </r>
  <r>
    <x v="15"/>
    <d v="1899-12-30T12:00:00"/>
    <x v="6"/>
    <x v="1"/>
    <n v="3"/>
    <n v="16"/>
    <x v="0"/>
    <x v="0"/>
    <x v="9"/>
    <d v="2025-01-16T12:00:00"/>
    <s v="Thu"/>
    <x v="14"/>
  </r>
  <r>
    <x v="15"/>
    <d v="1899-12-30T13:00:00"/>
    <x v="2"/>
    <x v="1"/>
    <n v="3"/>
    <n v="10"/>
    <x v="0"/>
    <x v="2"/>
    <x v="5"/>
    <d v="2025-01-16T13:00:00"/>
    <s v="Thu"/>
    <x v="3"/>
  </r>
  <r>
    <x v="15"/>
    <d v="1899-12-30T14:00:00"/>
    <x v="5"/>
    <x v="1"/>
    <n v="3"/>
    <n v="15"/>
    <x v="1"/>
    <x v="1"/>
    <x v="20"/>
    <d v="2025-01-16T14:00:00"/>
    <s v="Thu"/>
    <x v="4"/>
  </r>
  <r>
    <x v="15"/>
    <d v="1899-12-30T16:00:00"/>
    <x v="6"/>
    <x v="1"/>
    <n v="1"/>
    <n v="16"/>
    <x v="0"/>
    <x v="2"/>
    <x v="3"/>
    <d v="2025-01-16T16:00:00"/>
    <s v="Thu"/>
    <x v="5"/>
  </r>
  <r>
    <x v="15"/>
    <d v="1899-12-30T18:00:00"/>
    <x v="4"/>
    <x v="1"/>
    <n v="3"/>
    <n v="14"/>
    <x v="1"/>
    <x v="1"/>
    <x v="4"/>
    <d v="2025-01-16T18:00:00"/>
    <s v="Thu"/>
    <x v="22"/>
  </r>
  <r>
    <x v="15"/>
    <d v="1899-12-30T19:00:00"/>
    <x v="5"/>
    <x v="1"/>
    <n v="1"/>
    <n v="15"/>
    <x v="1"/>
    <x v="0"/>
    <x v="13"/>
    <d v="2025-01-16T19:00:00"/>
    <s v="Thu"/>
    <x v="7"/>
  </r>
  <r>
    <x v="16"/>
    <d v="1899-12-30T00:00:00"/>
    <x v="9"/>
    <x v="0"/>
    <n v="1"/>
    <n v="17"/>
    <x v="1"/>
    <x v="2"/>
    <x v="18"/>
    <d v="2025-01-17T00:00:00"/>
    <s v="Fri"/>
    <x v="16"/>
  </r>
  <r>
    <x v="16"/>
    <d v="1899-12-30T00:00:00"/>
    <x v="8"/>
    <x v="0"/>
    <n v="2"/>
    <n v="18"/>
    <x v="1"/>
    <x v="0"/>
    <x v="11"/>
    <d v="2025-01-17T00:00:00"/>
    <s v="Fri"/>
    <x v="16"/>
  </r>
  <r>
    <x v="16"/>
    <d v="1899-12-30T01:00:00"/>
    <x v="5"/>
    <x v="1"/>
    <n v="1"/>
    <n v="15"/>
    <x v="0"/>
    <x v="1"/>
    <x v="13"/>
    <d v="2025-01-17T01:00:00"/>
    <s v="Fri"/>
    <x v="0"/>
  </r>
  <r>
    <x v="16"/>
    <d v="1899-12-30T01:00:00"/>
    <x v="1"/>
    <x v="0"/>
    <n v="2"/>
    <n v="9"/>
    <x v="0"/>
    <x v="0"/>
    <x v="8"/>
    <d v="2025-01-17T01:00:00"/>
    <s v="Fri"/>
    <x v="0"/>
  </r>
  <r>
    <x v="16"/>
    <d v="1899-12-30T01:00:00"/>
    <x v="2"/>
    <x v="1"/>
    <n v="1"/>
    <n v="10"/>
    <x v="1"/>
    <x v="2"/>
    <x v="2"/>
    <d v="2025-01-17T01:00:00"/>
    <s v="Fri"/>
    <x v="0"/>
  </r>
  <r>
    <x v="16"/>
    <d v="1899-12-30T02:00:00"/>
    <x v="2"/>
    <x v="1"/>
    <n v="3"/>
    <n v="10"/>
    <x v="0"/>
    <x v="1"/>
    <x v="5"/>
    <d v="2025-01-17T02:00:00"/>
    <s v="Fri"/>
    <x v="10"/>
  </r>
  <r>
    <x v="16"/>
    <d v="1899-12-30T03:00:00"/>
    <x v="4"/>
    <x v="1"/>
    <n v="3"/>
    <n v="14"/>
    <x v="1"/>
    <x v="2"/>
    <x v="4"/>
    <d v="2025-01-17T03:00:00"/>
    <s v="Fri"/>
    <x v="11"/>
  </r>
  <r>
    <x v="16"/>
    <d v="1899-12-30T03:00:00"/>
    <x v="1"/>
    <x v="0"/>
    <n v="2"/>
    <n v="9"/>
    <x v="2"/>
    <x v="1"/>
    <x v="8"/>
    <d v="2025-01-17T03:00:00"/>
    <s v="Fri"/>
    <x v="11"/>
  </r>
  <r>
    <x v="16"/>
    <d v="1899-12-30T05:00:00"/>
    <x v="0"/>
    <x v="0"/>
    <n v="1"/>
    <n v="6"/>
    <x v="2"/>
    <x v="0"/>
    <x v="14"/>
    <d v="2025-01-17T05:00:00"/>
    <s v="Fri"/>
    <x v="17"/>
  </r>
  <r>
    <x v="16"/>
    <d v="1899-12-30T07:00:00"/>
    <x v="0"/>
    <x v="0"/>
    <n v="3"/>
    <n v="6"/>
    <x v="2"/>
    <x v="2"/>
    <x v="8"/>
    <d v="2025-01-17T07:00:00"/>
    <s v="Fri"/>
    <x v="20"/>
  </r>
  <r>
    <x v="16"/>
    <d v="1899-12-30T07:00:00"/>
    <x v="1"/>
    <x v="0"/>
    <n v="2"/>
    <n v="9"/>
    <x v="1"/>
    <x v="0"/>
    <x v="8"/>
    <d v="2025-01-17T07:00:00"/>
    <s v="Fri"/>
    <x v="20"/>
  </r>
  <r>
    <x v="16"/>
    <d v="1899-12-30T08:00:00"/>
    <x v="3"/>
    <x v="0"/>
    <n v="1"/>
    <n v="8"/>
    <x v="0"/>
    <x v="0"/>
    <x v="17"/>
    <d v="2025-01-17T08:00:00"/>
    <s v="Fri"/>
    <x v="2"/>
  </r>
  <r>
    <x v="16"/>
    <d v="1899-12-30T08:00:00"/>
    <x v="3"/>
    <x v="0"/>
    <n v="1"/>
    <n v="8"/>
    <x v="1"/>
    <x v="1"/>
    <x v="17"/>
    <d v="2025-01-17T08:00:00"/>
    <s v="Fri"/>
    <x v="2"/>
  </r>
  <r>
    <x v="16"/>
    <d v="1899-12-30T13:00:00"/>
    <x v="3"/>
    <x v="0"/>
    <n v="3"/>
    <n v="8"/>
    <x v="1"/>
    <x v="1"/>
    <x v="10"/>
    <d v="2025-01-17T13:00:00"/>
    <s v="Fri"/>
    <x v="3"/>
  </r>
  <r>
    <x v="16"/>
    <d v="1899-12-30T13:00:00"/>
    <x v="2"/>
    <x v="1"/>
    <n v="2"/>
    <n v="10"/>
    <x v="1"/>
    <x v="0"/>
    <x v="12"/>
    <d v="2025-01-17T13:00:00"/>
    <s v="Fri"/>
    <x v="3"/>
  </r>
  <r>
    <x v="16"/>
    <d v="1899-12-30T15:00:00"/>
    <x v="5"/>
    <x v="1"/>
    <n v="3"/>
    <n v="15"/>
    <x v="1"/>
    <x v="0"/>
    <x v="20"/>
    <d v="2025-01-17T15:00:00"/>
    <s v="Fri"/>
    <x v="18"/>
  </r>
  <r>
    <x v="16"/>
    <d v="1899-12-30T16:00:00"/>
    <x v="3"/>
    <x v="0"/>
    <n v="3"/>
    <n v="8"/>
    <x v="0"/>
    <x v="0"/>
    <x v="10"/>
    <d v="2025-01-17T16:00:00"/>
    <s v="Fri"/>
    <x v="5"/>
  </r>
  <r>
    <x v="16"/>
    <d v="1899-12-30T16:00:00"/>
    <x v="2"/>
    <x v="1"/>
    <n v="1"/>
    <n v="10"/>
    <x v="1"/>
    <x v="2"/>
    <x v="2"/>
    <d v="2025-01-17T16:00:00"/>
    <s v="Fri"/>
    <x v="5"/>
  </r>
  <r>
    <x v="16"/>
    <d v="1899-12-30T17:00:00"/>
    <x v="2"/>
    <x v="1"/>
    <n v="1"/>
    <n v="10"/>
    <x v="1"/>
    <x v="0"/>
    <x v="2"/>
    <d v="2025-01-17T17:00:00"/>
    <s v="Fri"/>
    <x v="6"/>
  </r>
  <r>
    <x v="16"/>
    <d v="1899-12-30T18:00:00"/>
    <x v="3"/>
    <x v="0"/>
    <n v="3"/>
    <n v="8"/>
    <x v="1"/>
    <x v="0"/>
    <x v="10"/>
    <d v="2025-01-17T18:00:00"/>
    <s v="Fri"/>
    <x v="22"/>
  </r>
  <r>
    <x v="16"/>
    <d v="1899-12-30T18:00:00"/>
    <x v="3"/>
    <x v="0"/>
    <n v="1"/>
    <n v="8"/>
    <x v="1"/>
    <x v="1"/>
    <x v="17"/>
    <d v="2025-01-17T18:00:00"/>
    <s v="Fri"/>
    <x v="22"/>
  </r>
  <r>
    <x v="16"/>
    <d v="1899-12-30T19:00:00"/>
    <x v="4"/>
    <x v="1"/>
    <n v="3"/>
    <n v="14"/>
    <x v="2"/>
    <x v="0"/>
    <x v="4"/>
    <d v="2025-01-17T19:00:00"/>
    <s v="Fri"/>
    <x v="7"/>
  </r>
  <r>
    <x v="16"/>
    <d v="1899-12-30T22:00:00"/>
    <x v="2"/>
    <x v="1"/>
    <n v="1"/>
    <n v="10"/>
    <x v="0"/>
    <x v="2"/>
    <x v="2"/>
    <d v="2025-01-17T22:00:00"/>
    <s v="Fri"/>
    <x v="23"/>
  </r>
  <r>
    <x v="16"/>
    <d v="1899-12-30T22:00:00"/>
    <x v="8"/>
    <x v="0"/>
    <n v="3"/>
    <n v="18"/>
    <x v="1"/>
    <x v="0"/>
    <x v="22"/>
    <d v="2025-01-17T22:00:00"/>
    <s v="Fri"/>
    <x v="23"/>
  </r>
  <r>
    <x v="16"/>
    <d v="1899-12-30T23:00:00"/>
    <x v="3"/>
    <x v="0"/>
    <n v="1"/>
    <n v="8"/>
    <x v="1"/>
    <x v="0"/>
    <x v="17"/>
    <d v="2025-01-17T23:00:00"/>
    <s v="Fri"/>
    <x v="15"/>
  </r>
  <r>
    <x v="17"/>
    <d v="1899-12-30T02:00:00"/>
    <x v="8"/>
    <x v="0"/>
    <n v="2"/>
    <n v="18"/>
    <x v="1"/>
    <x v="2"/>
    <x v="11"/>
    <d v="2025-01-18T02:00:00"/>
    <s v="Sat"/>
    <x v="10"/>
  </r>
  <r>
    <x v="17"/>
    <d v="1899-12-30T05:00:00"/>
    <x v="6"/>
    <x v="1"/>
    <n v="1"/>
    <n v="16"/>
    <x v="0"/>
    <x v="1"/>
    <x v="3"/>
    <d v="2025-01-18T05:00:00"/>
    <s v="Sat"/>
    <x v="17"/>
  </r>
  <r>
    <x v="17"/>
    <d v="1899-12-30T06:00:00"/>
    <x v="9"/>
    <x v="0"/>
    <n v="3"/>
    <n v="17"/>
    <x v="1"/>
    <x v="2"/>
    <x v="16"/>
    <d v="2025-01-18T06:00:00"/>
    <s v="Sat"/>
    <x v="19"/>
  </r>
  <r>
    <x v="17"/>
    <d v="1899-12-30T07:00:00"/>
    <x v="0"/>
    <x v="0"/>
    <n v="1"/>
    <n v="6"/>
    <x v="1"/>
    <x v="0"/>
    <x v="14"/>
    <d v="2025-01-18T07:00:00"/>
    <s v="Sat"/>
    <x v="20"/>
  </r>
  <r>
    <x v="17"/>
    <d v="1899-12-30T10:00:00"/>
    <x v="1"/>
    <x v="0"/>
    <n v="3"/>
    <n v="9"/>
    <x v="1"/>
    <x v="1"/>
    <x v="1"/>
    <d v="2025-01-18T10:00:00"/>
    <s v="Sat"/>
    <x v="12"/>
  </r>
  <r>
    <x v="17"/>
    <d v="1899-12-30T11:00:00"/>
    <x v="5"/>
    <x v="1"/>
    <n v="1"/>
    <n v="15"/>
    <x v="1"/>
    <x v="0"/>
    <x v="13"/>
    <d v="2025-01-18T11:00:00"/>
    <s v="Sat"/>
    <x v="13"/>
  </r>
  <r>
    <x v="17"/>
    <d v="1899-12-30T13:00:00"/>
    <x v="8"/>
    <x v="0"/>
    <n v="1"/>
    <n v="18"/>
    <x v="1"/>
    <x v="2"/>
    <x v="8"/>
    <d v="2025-01-18T13:00:00"/>
    <s v="Sat"/>
    <x v="3"/>
  </r>
  <r>
    <x v="17"/>
    <d v="1899-12-30T19:00:00"/>
    <x v="0"/>
    <x v="0"/>
    <n v="3"/>
    <n v="6"/>
    <x v="0"/>
    <x v="0"/>
    <x v="8"/>
    <d v="2025-01-18T19:00:00"/>
    <s v="Sat"/>
    <x v="7"/>
  </r>
  <r>
    <x v="18"/>
    <d v="1899-12-30T03:00:00"/>
    <x v="2"/>
    <x v="1"/>
    <n v="2"/>
    <n v="10"/>
    <x v="1"/>
    <x v="0"/>
    <x v="12"/>
    <d v="2025-01-19T03:00:00"/>
    <s v="Sun"/>
    <x v="11"/>
  </r>
  <r>
    <x v="18"/>
    <d v="1899-12-30T05:00:00"/>
    <x v="6"/>
    <x v="1"/>
    <n v="2"/>
    <n v="16"/>
    <x v="2"/>
    <x v="1"/>
    <x v="7"/>
    <d v="2025-01-19T05:00:00"/>
    <s v="Sun"/>
    <x v="17"/>
  </r>
  <r>
    <x v="18"/>
    <d v="1899-12-30T06:00:00"/>
    <x v="4"/>
    <x v="1"/>
    <n v="2"/>
    <n v="14"/>
    <x v="1"/>
    <x v="0"/>
    <x v="6"/>
    <d v="2025-01-19T06:00:00"/>
    <s v="Sun"/>
    <x v="19"/>
  </r>
  <r>
    <x v="18"/>
    <d v="1899-12-30T09:00:00"/>
    <x v="4"/>
    <x v="1"/>
    <n v="2"/>
    <n v="14"/>
    <x v="1"/>
    <x v="1"/>
    <x v="6"/>
    <d v="2025-01-19T09:00:00"/>
    <s v="Sun"/>
    <x v="21"/>
  </r>
  <r>
    <x v="18"/>
    <d v="1899-12-30T20:00:00"/>
    <x v="4"/>
    <x v="1"/>
    <n v="3"/>
    <n v="14"/>
    <x v="0"/>
    <x v="0"/>
    <x v="4"/>
    <d v="2025-01-19T20:00:00"/>
    <s v="Sun"/>
    <x v="8"/>
  </r>
  <r>
    <x v="18"/>
    <d v="1899-12-30T20:00:00"/>
    <x v="9"/>
    <x v="0"/>
    <n v="1"/>
    <n v="17"/>
    <x v="1"/>
    <x v="1"/>
    <x v="18"/>
    <d v="2025-01-19T20:00:00"/>
    <s v="Sun"/>
    <x v="8"/>
  </r>
  <r>
    <x v="18"/>
    <d v="1899-12-30T22:00:00"/>
    <x v="9"/>
    <x v="0"/>
    <n v="3"/>
    <n v="17"/>
    <x v="0"/>
    <x v="2"/>
    <x v="16"/>
    <d v="2025-01-19T22:00:00"/>
    <s v="Sun"/>
    <x v="23"/>
  </r>
  <r>
    <x v="18"/>
    <d v="1899-12-30T23:00:00"/>
    <x v="4"/>
    <x v="1"/>
    <n v="1"/>
    <n v="14"/>
    <x v="1"/>
    <x v="0"/>
    <x v="19"/>
    <d v="2025-01-19T23:00:00"/>
    <s v="Sun"/>
    <x v="15"/>
  </r>
  <r>
    <x v="18"/>
    <d v="1899-12-30T23:00:00"/>
    <x v="8"/>
    <x v="0"/>
    <n v="1"/>
    <n v="18"/>
    <x v="1"/>
    <x v="0"/>
    <x v="8"/>
    <d v="2025-01-19T23:00:00"/>
    <s v="Sun"/>
    <x v="15"/>
  </r>
  <r>
    <x v="19"/>
    <d v="1899-12-30T02:00:00"/>
    <x v="8"/>
    <x v="0"/>
    <n v="3"/>
    <n v="18"/>
    <x v="0"/>
    <x v="2"/>
    <x v="22"/>
    <d v="2025-01-20T02:00:00"/>
    <s v="Mon"/>
    <x v="10"/>
  </r>
  <r>
    <x v="19"/>
    <d v="1899-12-30T03:00:00"/>
    <x v="0"/>
    <x v="0"/>
    <n v="2"/>
    <n v="6"/>
    <x v="0"/>
    <x v="0"/>
    <x v="0"/>
    <d v="2025-01-20T03:00:00"/>
    <s v="Mon"/>
    <x v="11"/>
  </r>
  <r>
    <x v="19"/>
    <d v="1899-12-30T03:00:00"/>
    <x v="6"/>
    <x v="1"/>
    <n v="1"/>
    <n v="16"/>
    <x v="1"/>
    <x v="2"/>
    <x v="3"/>
    <d v="2025-01-20T03:00:00"/>
    <s v="Mon"/>
    <x v="11"/>
  </r>
  <r>
    <x v="19"/>
    <d v="1899-12-30T04:00:00"/>
    <x v="4"/>
    <x v="1"/>
    <n v="2"/>
    <n v="14"/>
    <x v="1"/>
    <x v="2"/>
    <x v="6"/>
    <d v="2025-01-20T04:00:00"/>
    <s v="Mon"/>
    <x v="1"/>
  </r>
  <r>
    <x v="19"/>
    <d v="1899-12-30T05:00:00"/>
    <x v="8"/>
    <x v="0"/>
    <n v="3"/>
    <n v="18"/>
    <x v="1"/>
    <x v="2"/>
    <x v="22"/>
    <d v="2025-01-20T05:00:00"/>
    <s v="Mon"/>
    <x v="17"/>
  </r>
  <r>
    <x v="19"/>
    <d v="1899-12-30T05:00:00"/>
    <x v="8"/>
    <x v="0"/>
    <n v="3"/>
    <n v="18"/>
    <x v="1"/>
    <x v="0"/>
    <x v="22"/>
    <d v="2025-01-20T05:00:00"/>
    <s v="Mon"/>
    <x v="17"/>
  </r>
  <r>
    <x v="19"/>
    <d v="1899-12-30T07:00:00"/>
    <x v="9"/>
    <x v="0"/>
    <n v="1"/>
    <n v="17"/>
    <x v="1"/>
    <x v="2"/>
    <x v="18"/>
    <d v="2025-01-20T07:00:00"/>
    <s v="Mon"/>
    <x v="20"/>
  </r>
  <r>
    <x v="19"/>
    <d v="1899-12-30T10:00:00"/>
    <x v="0"/>
    <x v="0"/>
    <n v="3"/>
    <n v="6"/>
    <x v="1"/>
    <x v="0"/>
    <x v="8"/>
    <d v="2025-01-20T10:00:00"/>
    <s v="Mon"/>
    <x v="12"/>
  </r>
  <r>
    <x v="19"/>
    <d v="1899-12-30T13:00:00"/>
    <x v="6"/>
    <x v="1"/>
    <n v="3"/>
    <n v="16"/>
    <x v="2"/>
    <x v="2"/>
    <x v="9"/>
    <d v="2025-01-20T13:00:00"/>
    <s v="Mon"/>
    <x v="3"/>
  </r>
  <r>
    <x v="19"/>
    <d v="1899-12-30T14:00:00"/>
    <x v="3"/>
    <x v="0"/>
    <n v="2"/>
    <n v="8"/>
    <x v="0"/>
    <x v="0"/>
    <x v="3"/>
    <d v="2025-01-20T14:00:00"/>
    <s v="Mon"/>
    <x v="4"/>
  </r>
  <r>
    <x v="19"/>
    <d v="1899-12-30T15:00:00"/>
    <x v="3"/>
    <x v="0"/>
    <n v="3"/>
    <n v="8"/>
    <x v="0"/>
    <x v="2"/>
    <x v="10"/>
    <d v="2025-01-20T15:00:00"/>
    <s v="Mon"/>
    <x v="18"/>
  </r>
  <r>
    <x v="19"/>
    <d v="1899-12-30T15:00:00"/>
    <x v="3"/>
    <x v="0"/>
    <n v="2"/>
    <n v="8"/>
    <x v="0"/>
    <x v="2"/>
    <x v="3"/>
    <d v="2025-01-20T15:00:00"/>
    <s v="Mon"/>
    <x v="18"/>
  </r>
  <r>
    <x v="19"/>
    <d v="1899-12-30T16:00:00"/>
    <x v="2"/>
    <x v="1"/>
    <n v="1"/>
    <n v="10"/>
    <x v="1"/>
    <x v="0"/>
    <x v="2"/>
    <d v="2025-01-20T16:00:00"/>
    <s v="Mon"/>
    <x v="5"/>
  </r>
  <r>
    <x v="19"/>
    <d v="1899-12-30T16:00:00"/>
    <x v="8"/>
    <x v="0"/>
    <n v="1"/>
    <n v="18"/>
    <x v="1"/>
    <x v="0"/>
    <x v="8"/>
    <d v="2025-01-20T16:00:00"/>
    <s v="Mon"/>
    <x v="5"/>
  </r>
  <r>
    <x v="19"/>
    <d v="1899-12-30T16:00:00"/>
    <x v="3"/>
    <x v="0"/>
    <n v="2"/>
    <n v="8"/>
    <x v="1"/>
    <x v="1"/>
    <x v="3"/>
    <d v="2025-01-20T16:00:00"/>
    <s v="Mon"/>
    <x v="5"/>
  </r>
  <r>
    <x v="19"/>
    <d v="1899-12-30T18:00:00"/>
    <x v="6"/>
    <x v="1"/>
    <n v="1"/>
    <n v="16"/>
    <x v="1"/>
    <x v="0"/>
    <x v="3"/>
    <d v="2025-01-20T18:00:00"/>
    <s v="Mon"/>
    <x v="22"/>
  </r>
  <r>
    <x v="19"/>
    <d v="1899-12-30T19:00:00"/>
    <x v="7"/>
    <x v="1"/>
    <n v="2"/>
    <n v="12"/>
    <x v="2"/>
    <x v="0"/>
    <x v="10"/>
    <d v="2025-01-20T19:00:00"/>
    <s v="Mon"/>
    <x v="7"/>
  </r>
  <r>
    <x v="19"/>
    <d v="1899-12-30T20:00:00"/>
    <x v="1"/>
    <x v="0"/>
    <n v="1"/>
    <n v="9"/>
    <x v="1"/>
    <x v="0"/>
    <x v="21"/>
    <d v="2025-01-20T20:00:00"/>
    <s v="Mon"/>
    <x v="8"/>
  </r>
  <r>
    <x v="19"/>
    <d v="1899-12-30T20:00:00"/>
    <x v="0"/>
    <x v="0"/>
    <n v="3"/>
    <n v="6"/>
    <x v="1"/>
    <x v="1"/>
    <x v="8"/>
    <d v="2025-01-20T20:00:00"/>
    <s v="Mon"/>
    <x v="8"/>
  </r>
  <r>
    <x v="19"/>
    <d v="1899-12-30T20:00:00"/>
    <x v="7"/>
    <x v="1"/>
    <n v="3"/>
    <n v="12"/>
    <x v="0"/>
    <x v="2"/>
    <x v="11"/>
    <d v="2025-01-20T20:00:00"/>
    <s v="Mon"/>
    <x v="8"/>
  </r>
  <r>
    <x v="20"/>
    <d v="1899-12-30T00:00:00"/>
    <x v="3"/>
    <x v="0"/>
    <n v="1"/>
    <n v="8"/>
    <x v="0"/>
    <x v="0"/>
    <x v="17"/>
    <d v="2025-01-21T00:00:00"/>
    <s v="Tue"/>
    <x v="16"/>
  </r>
  <r>
    <x v="20"/>
    <d v="1899-12-30T04:00:00"/>
    <x v="4"/>
    <x v="1"/>
    <n v="3"/>
    <n v="14"/>
    <x v="1"/>
    <x v="2"/>
    <x v="4"/>
    <d v="2025-01-21T04:00:00"/>
    <s v="Tue"/>
    <x v="1"/>
  </r>
  <r>
    <x v="20"/>
    <d v="1899-12-30T04:00:00"/>
    <x v="5"/>
    <x v="1"/>
    <n v="1"/>
    <n v="15"/>
    <x v="2"/>
    <x v="0"/>
    <x v="13"/>
    <d v="2025-01-21T04:00:00"/>
    <s v="Tue"/>
    <x v="1"/>
  </r>
  <r>
    <x v="20"/>
    <d v="1899-12-30T08:00:00"/>
    <x v="9"/>
    <x v="0"/>
    <n v="3"/>
    <n v="17"/>
    <x v="1"/>
    <x v="1"/>
    <x v="16"/>
    <d v="2025-01-21T08:00:00"/>
    <s v="Tue"/>
    <x v="2"/>
  </r>
  <r>
    <x v="20"/>
    <d v="1899-12-30T09:00:00"/>
    <x v="7"/>
    <x v="1"/>
    <n v="2"/>
    <n v="12"/>
    <x v="1"/>
    <x v="0"/>
    <x v="10"/>
    <d v="2025-01-21T09:00:00"/>
    <s v="Tue"/>
    <x v="21"/>
  </r>
  <r>
    <x v="20"/>
    <d v="1899-12-30T09:00:00"/>
    <x v="4"/>
    <x v="1"/>
    <n v="1"/>
    <n v="14"/>
    <x v="2"/>
    <x v="0"/>
    <x v="19"/>
    <d v="2025-01-21T09:00:00"/>
    <s v="Tue"/>
    <x v="21"/>
  </r>
  <r>
    <x v="20"/>
    <d v="1899-12-30T11:00:00"/>
    <x v="6"/>
    <x v="1"/>
    <n v="3"/>
    <n v="16"/>
    <x v="1"/>
    <x v="2"/>
    <x v="9"/>
    <d v="2025-01-21T11:00:00"/>
    <s v="Tue"/>
    <x v="13"/>
  </r>
  <r>
    <x v="20"/>
    <d v="1899-12-30T12:00:00"/>
    <x v="1"/>
    <x v="0"/>
    <n v="3"/>
    <n v="9"/>
    <x v="0"/>
    <x v="1"/>
    <x v="1"/>
    <d v="2025-01-21T12:00:00"/>
    <s v="Tue"/>
    <x v="14"/>
  </r>
  <r>
    <x v="20"/>
    <d v="1899-12-30T16:00:00"/>
    <x v="2"/>
    <x v="1"/>
    <n v="2"/>
    <n v="10"/>
    <x v="1"/>
    <x v="0"/>
    <x v="12"/>
    <d v="2025-01-21T16:00:00"/>
    <s v="Tue"/>
    <x v="5"/>
  </r>
  <r>
    <x v="20"/>
    <d v="1899-12-30T16:00:00"/>
    <x v="4"/>
    <x v="1"/>
    <n v="1"/>
    <n v="14"/>
    <x v="1"/>
    <x v="0"/>
    <x v="19"/>
    <d v="2025-01-21T16:00:00"/>
    <s v="Tue"/>
    <x v="5"/>
  </r>
  <r>
    <x v="20"/>
    <d v="1899-12-30T18:00:00"/>
    <x v="8"/>
    <x v="0"/>
    <n v="2"/>
    <n v="18"/>
    <x v="0"/>
    <x v="0"/>
    <x v="11"/>
    <d v="2025-01-21T18:00:00"/>
    <s v="Tue"/>
    <x v="22"/>
  </r>
  <r>
    <x v="20"/>
    <d v="1899-12-30T22:00:00"/>
    <x v="8"/>
    <x v="0"/>
    <n v="3"/>
    <n v="18"/>
    <x v="1"/>
    <x v="2"/>
    <x v="22"/>
    <d v="2025-01-21T22:00:00"/>
    <s v="Tue"/>
    <x v="23"/>
  </r>
  <r>
    <x v="20"/>
    <d v="1899-12-30T22:00:00"/>
    <x v="3"/>
    <x v="0"/>
    <n v="3"/>
    <n v="8"/>
    <x v="1"/>
    <x v="0"/>
    <x v="10"/>
    <d v="2025-01-21T22:00:00"/>
    <s v="Tue"/>
    <x v="23"/>
  </r>
  <r>
    <x v="20"/>
    <d v="1899-12-30T23:00:00"/>
    <x v="8"/>
    <x v="0"/>
    <n v="2"/>
    <n v="18"/>
    <x v="1"/>
    <x v="2"/>
    <x v="11"/>
    <d v="2025-01-21T23:00:00"/>
    <s v="Tue"/>
    <x v="15"/>
  </r>
  <r>
    <x v="21"/>
    <d v="1899-12-30T00:00:00"/>
    <x v="9"/>
    <x v="0"/>
    <n v="2"/>
    <n v="17"/>
    <x v="0"/>
    <x v="0"/>
    <x v="15"/>
    <d v="2025-01-22T00:00:00"/>
    <s v="Wed"/>
    <x v="16"/>
  </r>
  <r>
    <x v="21"/>
    <d v="1899-12-30T01:00:00"/>
    <x v="7"/>
    <x v="1"/>
    <n v="1"/>
    <n v="12"/>
    <x v="0"/>
    <x v="2"/>
    <x v="0"/>
    <d v="2025-01-22T01:00:00"/>
    <s v="Wed"/>
    <x v="0"/>
  </r>
  <r>
    <x v="21"/>
    <d v="1899-12-30T01:00:00"/>
    <x v="1"/>
    <x v="0"/>
    <n v="2"/>
    <n v="9"/>
    <x v="1"/>
    <x v="2"/>
    <x v="8"/>
    <d v="2025-01-22T01:00:00"/>
    <s v="Wed"/>
    <x v="0"/>
  </r>
  <r>
    <x v="21"/>
    <d v="1899-12-30T04:00:00"/>
    <x v="8"/>
    <x v="0"/>
    <n v="3"/>
    <n v="18"/>
    <x v="2"/>
    <x v="0"/>
    <x v="22"/>
    <d v="2025-01-22T04:00:00"/>
    <s v="Wed"/>
    <x v="1"/>
  </r>
  <r>
    <x v="21"/>
    <d v="1899-12-30T05:00:00"/>
    <x v="6"/>
    <x v="1"/>
    <n v="2"/>
    <n v="16"/>
    <x v="1"/>
    <x v="0"/>
    <x v="7"/>
    <d v="2025-01-22T05:00:00"/>
    <s v="Wed"/>
    <x v="17"/>
  </r>
  <r>
    <x v="21"/>
    <d v="1899-12-30T05:00:00"/>
    <x v="1"/>
    <x v="0"/>
    <n v="3"/>
    <n v="9"/>
    <x v="1"/>
    <x v="1"/>
    <x v="1"/>
    <d v="2025-01-22T05:00:00"/>
    <s v="Wed"/>
    <x v="17"/>
  </r>
  <r>
    <x v="21"/>
    <d v="1899-12-30T06:00:00"/>
    <x v="1"/>
    <x v="0"/>
    <n v="1"/>
    <n v="9"/>
    <x v="0"/>
    <x v="2"/>
    <x v="21"/>
    <d v="2025-01-22T06:00:00"/>
    <s v="Wed"/>
    <x v="19"/>
  </r>
  <r>
    <x v="21"/>
    <d v="1899-12-30T06:00:00"/>
    <x v="8"/>
    <x v="0"/>
    <n v="1"/>
    <n v="18"/>
    <x v="0"/>
    <x v="1"/>
    <x v="8"/>
    <d v="2025-01-22T06:00:00"/>
    <s v="Wed"/>
    <x v="19"/>
  </r>
  <r>
    <x v="21"/>
    <d v="1899-12-30T06:00:00"/>
    <x v="1"/>
    <x v="0"/>
    <n v="2"/>
    <n v="9"/>
    <x v="0"/>
    <x v="0"/>
    <x v="8"/>
    <d v="2025-01-22T06:00:00"/>
    <s v="Wed"/>
    <x v="19"/>
  </r>
  <r>
    <x v="21"/>
    <d v="1899-12-30T07:00:00"/>
    <x v="8"/>
    <x v="0"/>
    <n v="2"/>
    <n v="18"/>
    <x v="1"/>
    <x v="2"/>
    <x v="11"/>
    <d v="2025-01-22T07:00:00"/>
    <s v="Wed"/>
    <x v="20"/>
  </r>
  <r>
    <x v="21"/>
    <d v="1899-12-30T07:00:00"/>
    <x v="2"/>
    <x v="1"/>
    <n v="1"/>
    <n v="10"/>
    <x v="1"/>
    <x v="0"/>
    <x v="2"/>
    <d v="2025-01-22T07:00:00"/>
    <s v="Wed"/>
    <x v="20"/>
  </r>
  <r>
    <x v="21"/>
    <d v="1899-12-30T11:00:00"/>
    <x v="7"/>
    <x v="1"/>
    <n v="2"/>
    <n v="12"/>
    <x v="1"/>
    <x v="0"/>
    <x v="10"/>
    <d v="2025-01-22T11:00:00"/>
    <s v="Wed"/>
    <x v="13"/>
  </r>
  <r>
    <x v="21"/>
    <d v="1899-12-30T13:00:00"/>
    <x v="3"/>
    <x v="0"/>
    <n v="2"/>
    <n v="8"/>
    <x v="1"/>
    <x v="1"/>
    <x v="3"/>
    <d v="2025-01-22T13:00:00"/>
    <s v="Wed"/>
    <x v="3"/>
  </r>
  <r>
    <x v="21"/>
    <d v="1899-12-30T16:00:00"/>
    <x v="5"/>
    <x v="1"/>
    <n v="2"/>
    <n v="15"/>
    <x v="0"/>
    <x v="0"/>
    <x v="5"/>
    <d v="2025-01-22T16:00:00"/>
    <s v="Wed"/>
    <x v="5"/>
  </r>
  <r>
    <x v="21"/>
    <d v="1899-12-30T20:00:00"/>
    <x v="4"/>
    <x v="1"/>
    <n v="3"/>
    <n v="14"/>
    <x v="0"/>
    <x v="1"/>
    <x v="4"/>
    <d v="2025-01-22T20:00:00"/>
    <s v="Wed"/>
    <x v="8"/>
  </r>
  <r>
    <x v="21"/>
    <d v="1899-12-30T20:00:00"/>
    <x v="3"/>
    <x v="0"/>
    <n v="3"/>
    <n v="8"/>
    <x v="1"/>
    <x v="2"/>
    <x v="10"/>
    <d v="2025-01-22T20:00:00"/>
    <s v="Wed"/>
    <x v="8"/>
  </r>
  <r>
    <x v="22"/>
    <d v="1899-12-30T09:00:00"/>
    <x v="8"/>
    <x v="0"/>
    <n v="2"/>
    <n v="18"/>
    <x v="1"/>
    <x v="2"/>
    <x v="11"/>
    <d v="2025-01-23T09:00:00"/>
    <s v="Thu"/>
    <x v="21"/>
  </r>
  <r>
    <x v="22"/>
    <d v="1899-12-30T12:00:00"/>
    <x v="3"/>
    <x v="0"/>
    <n v="3"/>
    <n v="8"/>
    <x v="1"/>
    <x v="2"/>
    <x v="10"/>
    <d v="2025-01-23T12:00:00"/>
    <s v="Thu"/>
    <x v="14"/>
  </r>
  <r>
    <x v="22"/>
    <d v="1899-12-30T18:00:00"/>
    <x v="0"/>
    <x v="0"/>
    <n v="2"/>
    <n v="6"/>
    <x v="1"/>
    <x v="2"/>
    <x v="0"/>
    <d v="2025-01-23T18:00:00"/>
    <s v="Thu"/>
    <x v="22"/>
  </r>
  <r>
    <x v="22"/>
    <d v="1899-12-30T18:00:00"/>
    <x v="9"/>
    <x v="0"/>
    <n v="2"/>
    <n v="17"/>
    <x v="1"/>
    <x v="2"/>
    <x v="15"/>
    <d v="2025-01-23T18:00:00"/>
    <s v="Thu"/>
    <x v="22"/>
  </r>
  <r>
    <x v="22"/>
    <d v="1899-12-30T22:00:00"/>
    <x v="3"/>
    <x v="0"/>
    <n v="1"/>
    <n v="8"/>
    <x v="1"/>
    <x v="2"/>
    <x v="17"/>
    <d v="2025-01-23T22:00:00"/>
    <s v="Thu"/>
    <x v="23"/>
  </r>
  <r>
    <x v="23"/>
    <d v="1899-12-30T01:00:00"/>
    <x v="4"/>
    <x v="1"/>
    <n v="3"/>
    <n v="14"/>
    <x v="1"/>
    <x v="2"/>
    <x v="4"/>
    <d v="2025-01-24T01:00:00"/>
    <s v="Fri"/>
    <x v="0"/>
  </r>
  <r>
    <x v="23"/>
    <d v="1899-12-30T03:00:00"/>
    <x v="3"/>
    <x v="0"/>
    <n v="1"/>
    <n v="8"/>
    <x v="1"/>
    <x v="2"/>
    <x v="17"/>
    <d v="2025-01-24T03:00:00"/>
    <s v="Fri"/>
    <x v="11"/>
  </r>
  <r>
    <x v="23"/>
    <d v="1899-12-30T03:00:00"/>
    <x v="5"/>
    <x v="1"/>
    <n v="2"/>
    <n v="15"/>
    <x v="1"/>
    <x v="0"/>
    <x v="5"/>
    <d v="2025-01-24T03:00:00"/>
    <s v="Fri"/>
    <x v="11"/>
  </r>
  <r>
    <x v="23"/>
    <d v="1899-12-30T04:00:00"/>
    <x v="8"/>
    <x v="0"/>
    <n v="1"/>
    <n v="18"/>
    <x v="1"/>
    <x v="0"/>
    <x v="8"/>
    <d v="2025-01-24T04:00:00"/>
    <s v="Fri"/>
    <x v="1"/>
  </r>
  <r>
    <x v="23"/>
    <d v="1899-12-30T08:00:00"/>
    <x v="4"/>
    <x v="1"/>
    <n v="3"/>
    <n v="14"/>
    <x v="0"/>
    <x v="2"/>
    <x v="4"/>
    <d v="2025-01-24T08:00:00"/>
    <s v="Fri"/>
    <x v="2"/>
  </r>
  <r>
    <x v="23"/>
    <d v="1899-12-30T09:00:00"/>
    <x v="2"/>
    <x v="1"/>
    <n v="3"/>
    <n v="10"/>
    <x v="1"/>
    <x v="1"/>
    <x v="5"/>
    <d v="2025-01-24T09:00:00"/>
    <s v="Fri"/>
    <x v="21"/>
  </r>
  <r>
    <x v="23"/>
    <d v="1899-12-30T10:00:00"/>
    <x v="0"/>
    <x v="0"/>
    <n v="1"/>
    <n v="6"/>
    <x v="1"/>
    <x v="2"/>
    <x v="14"/>
    <d v="2025-01-24T10:00:00"/>
    <s v="Fri"/>
    <x v="12"/>
  </r>
  <r>
    <x v="23"/>
    <d v="1899-12-30T10:00:00"/>
    <x v="7"/>
    <x v="1"/>
    <n v="2"/>
    <n v="12"/>
    <x v="1"/>
    <x v="2"/>
    <x v="10"/>
    <d v="2025-01-24T10:00:00"/>
    <s v="Fri"/>
    <x v="12"/>
  </r>
  <r>
    <x v="23"/>
    <d v="1899-12-30T11:00:00"/>
    <x v="7"/>
    <x v="1"/>
    <n v="2"/>
    <n v="12"/>
    <x v="1"/>
    <x v="2"/>
    <x v="10"/>
    <d v="2025-01-24T11:00:00"/>
    <s v="Fri"/>
    <x v="13"/>
  </r>
  <r>
    <x v="23"/>
    <d v="1899-12-30T11:00:00"/>
    <x v="5"/>
    <x v="1"/>
    <n v="3"/>
    <n v="15"/>
    <x v="2"/>
    <x v="2"/>
    <x v="20"/>
    <d v="2025-01-24T11:00:00"/>
    <s v="Fri"/>
    <x v="13"/>
  </r>
  <r>
    <x v="23"/>
    <d v="1899-12-30T12:00:00"/>
    <x v="0"/>
    <x v="0"/>
    <n v="3"/>
    <n v="6"/>
    <x v="1"/>
    <x v="1"/>
    <x v="8"/>
    <d v="2025-01-24T12:00:00"/>
    <s v="Fri"/>
    <x v="14"/>
  </r>
  <r>
    <x v="23"/>
    <d v="1899-12-30T13:00:00"/>
    <x v="4"/>
    <x v="1"/>
    <n v="1"/>
    <n v="14"/>
    <x v="1"/>
    <x v="1"/>
    <x v="19"/>
    <d v="2025-01-24T13:00:00"/>
    <s v="Fri"/>
    <x v="3"/>
  </r>
  <r>
    <x v="23"/>
    <d v="1899-12-30T13:00:00"/>
    <x v="2"/>
    <x v="1"/>
    <n v="3"/>
    <n v="10"/>
    <x v="1"/>
    <x v="2"/>
    <x v="5"/>
    <d v="2025-01-24T13:00:00"/>
    <s v="Fri"/>
    <x v="3"/>
  </r>
  <r>
    <x v="23"/>
    <d v="1899-12-30T13:00:00"/>
    <x v="3"/>
    <x v="0"/>
    <n v="2"/>
    <n v="8"/>
    <x v="0"/>
    <x v="1"/>
    <x v="3"/>
    <d v="2025-01-24T13:00:00"/>
    <s v="Fri"/>
    <x v="3"/>
  </r>
  <r>
    <x v="23"/>
    <d v="1899-12-30T14:00:00"/>
    <x v="3"/>
    <x v="0"/>
    <n v="1"/>
    <n v="8"/>
    <x v="1"/>
    <x v="2"/>
    <x v="17"/>
    <d v="2025-01-24T14:00:00"/>
    <s v="Fri"/>
    <x v="4"/>
  </r>
  <r>
    <x v="23"/>
    <d v="1899-12-30T17:00:00"/>
    <x v="1"/>
    <x v="0"/>
    <n v="1"/>
    <n v="9"/>
    <x v="1"/>
    <x v="2"/>
    <x v="21"/>
    <d v="2025-01-24T17:00:00"/>
    <s v="Fri"/>
    <x v="6"/>
  </r>
  <r>
    <x v="23"/>
    <d v="1899-12-30T19:00:00"/>
    <x v="9"/>
    <x v="0"/>
    <n v="2"/>
    <n v="17"/>
    <x v="0"/>
    <x v="2"/>
    <x v="15"/>
    <d v="2025-01-24T19:00:00"/>
    <s v="Fri"/>
    <x v="7"/>
  </r>
  <r>
    <x v="23"/>
    <d v="1899-12-30T21:00:00"/>
    <x v="9"/>
    <x v="0"/>
    <n v="1"/>
    <n v="17"/>
    <x v="1"/>
    <x v="1"/>
    <x v="18"/>
    <d v="2025-01-24T21:00:00"/>
    <s v="Fri"/>
    <x v="9"/>
  </r>
  <r>
    <x v="23"/>
    <d v="1899-12-30T21:00:00"/>
    <x v="6"/>
    <x v="1"/>
    <n v="3"/>
    <n v="16"/>
    <x v="1"/>
    <x v="2"/>
    <x v="9"/>
    <d v="2025-01-24T21:00:00"/>
    <s v="Fri"/>
    <x v="9"/>
  </r>
  <r>
    <x v="23"/>
    <d v="1899-12-30T22:00:00"/>
    <x v="7"/>
    <x v="1"/>
    <n v="1"/>
    <n v="12"/>
    <x v="0"/>
    <x v="0"/>
    <x v="0"/>
    <d v="2025-01-24T22:00:00"/>
    <s v="Fri"/>
    <x v="23"/>
  </r>
  <r>
    <x v="23"/>
    <d v="1899-12-30T22:00:00"/>
    <x v="0"/>
    <x v="0"/>
    <n v="3"/>
    <n v="6"/>
    <x v="1"/>
    <x v="0"/>
    <x v="8"/>
    <d v="2025-01-24T22:00:00"/>
    <s v="Fri"/>
    <x v="23"/>
  </r>
  <r>
    <x v="24"/>
    <d v="1899-12-30T01:00:00"/>
    <x v="0"/>
    <x v="0"/>
    <n v="2"/>
    <n v="6"/>
    <x v="0"/>
    <x v="2"/>
    <x v="0"/>
    <d v="2025-01-25T01:00:00"/>
    <s v="Sat"/>
    <x v="0"/>
  </r>
  <r>
    <x v="24"/>
    <d v="1899-12-30T03:00:00"/>
    <x v="8"/>
    <x v="0"/>
    <n v="3"/>
    <n v="18"/>
    <x v="2"/>
    <x v="0"/>
    <x v="22"/>
    <d v="2025-01-25T03:00:00"/>
    <s v="Sat"/>
    <x v="11"/>
  </r>
  <r>
    <x v="24"/>
    <d v="1899-12-30T10:00:00"/>
    <x v="1"/>
    <x v="0"/>
    <n v="1"/>
    <n v="9"/>
    <x v="1"/>
    <x v="0"/>
    <x v="21"/>
    <d v="2025-01-25T10:00:00"/>
    <s v="Sat"/>
    <x v="12"/>
  </r>
  <r>
    <x v="24"/>
    <d v="1899-12-30T16:00:00"/>
    <x v="6"/>
    <x v="1"/>
    <n v="1"/>
    <n v="16"/>
    <x v="1"/>
    <x v="1"/>
    <x v="3"/>
    <d v="2025-01-25T16:00:00"/>
    <s v="Sat"/>
    <x v="5"/>
  </r>
  <r>
    <x v="25"/>
    <d v="1899-12-30T00:00:00"/>
    <x v="1"/>
    <x v="0"/>
    <n v="3"/>
    <n v="9"/>
    <x v="0"/>
    <x v="0"/>
    <x v="1"/>
    <d v="2025-01-26T00:00:00"/>
    <s v="Sun"/>
    <x v="16"/>
  </r>
  <r>
    <x v="25"/>
    <d v="1899-12-30T06:00:00"/>
    <x v="5"/>
    <x v="1"/>
    <n v="1"/>
    <n v="15"/>
    <x v="1"/>
    <x v="1"/>
    <x v="13"/>
    <d v="2025-01-26T06:00:00"/>
    <s v="Sun"/>
    <x v="19"/>
  </r>
  <r>
    <x v="25"/>
    <d v="1899-12-30T07:00:00"/>
    <x v="2"/>
    <x v="1"/>
    <n v="3"/>
    <n v="10"/>
    <x v="0"/>
    <x v="0"/>
    <x v="5"/>
    <d v="2025-01-26T07:00:00"/>
    <s v="Sun"/>
    <x v="20"/>
  </r>
  <r>
    <x v="25"/>
    <d v="1899-12-30T08:00:00"/>
    <x v="6"/>
    <x v="1"/>
    <n v="1"/>
    <n v="16"/>
    <x v="1"/>
    <x v="0"/>
    <x v="3"/>
    <d v="2025-01-26T08:00:00"/>
    <s v="Sun"/>
    <x v="2"/>
  </r>
  <r>
    <x v="25"/>
    <d v="1899-12-30T08:00:00"/>
    <x v="0"/>
    <x v="0"/>
    <n v="1"/>
    <n v="6"/>
    <x v="1"/>
    <x v="2"/>
    <x v="14"/>
    <d v="2025-01-26T08:00:00"/>
    <s v="Sun"/>
    <x v="2"/>
  </r>
  <r>
    <x v="25"/>
    <d v="1899-12-30T09:00:00"/>
    <x v="5"/>
    <x v="1"/>
    <n v="1"/>
    <n v="15"/>
    <x v="1"/>
    <x v="1"/>
    <x v="13"/>
    <d v="2025-01-26T09:00:00"/>
    <s v="Sun"/>
    <x v="21"/>
  </r>
  <r>
    <x v="25"/>
    <d v="1899-12-30T10:00:00"/>
    <x v="8"/>
    <x v="0"/>
    <n v="3"/>
    <n v="18"/>
    <x v="1"/>
    <x v="0"/>
    <x v="22"/>
    <d v="2025-01-26T10:00:00"/>
    <s v="Sun"/>
    <x v="12"/>
  </r>
  <r>
    <x v="25"/>
    <d v="1899-12-30T12:00:00"/>
    <x v="1"/>
    <x v="0"/>
    <n v="3"/>
    <n v="9"/>
    <x v="0"/>
    <x v="0"/>
    <x v="1"/>
    <d v="2025-01-26T12:00:00"/>
    <s v="Sun"/>
    <x v="14"/>
  </r>
  <r>
    <x v="25"/>
    <d v="1899-12-30T12:00:00"/>
    <x v="5"/>
    <x v="1"/>
    <n v="2"/>
    <n v="15"/>
    <x v="1"/>
    <x v="0"/>
    <x v="5"/>
    <d v="2025-01-26T12:00:00"/>
    <s v="Sun"/>
    <x v="14"/>
  </r>
  <r>
    <x v="25"/>
    <d v="1899-12-30T14:00:00"/>
    <x v="6"/>
    <x v="1"/>
    <n v="1"/>
    <n v="16"/>
    <x v="1"/>
    <x v="0"/>
    <x v="3"/>
    <d v="2025-01-26T14:00:00"/>
    <s v="Sun"/>
    <x v="4"/>
  </r>
  <r>
    <x v="25"/>
    <d v="1899-12-30T19:00:00"/>
    <x v="1"/>
    <x v="0"/>
    <n v="1"/>
    <n v="9"/>
    <x v="2"/>
    <x v="0"/>
    <x v="21"/>
    <d v="2025-01-26T19:00:00"/>
    <s v="Sun"/>
    <x v="7"/>
  </r>
  <r>
    <x v="25"/>
    <d v="1899-12-30T23:00:00"/>
    <x v="2"/>
    <x v="1"/>
    <n v="3"/>
    <n v="10"/>
    <x v="2"/>
    <x v="0"/>
    <x v="5"/>
    <d v="2025-01-26T23:00:00"/>
    <s v="Sun"/>
    <x v="15"/>
  </r>
  <r>
    <x v="26"/>
    <d v="1899-12-30T00:00:00"/>
    <x v="5"/>
    <x v="1"/>
    <n v="2"/>
    <n v="15"/>
    <x v="1"/>
    <x v="1"/>
    <x v="5"/>
    <d v="2025-01-27T00:00:00"/>
    <s v="Mon"/>
    <x v="16"/>
  </r>
  <r>
    <x v="26"/>
    <d v="1899-12-30T00:00:00"/>
    <x v="8"/>
    <x v="0"/>
    <n v="1"/>
    <n v="18"/>
    <x v="0"/>
    <x v="1"/>
    <x v="8"/>
    <d v="2025-01-27T00:00:00"/>
    <s v="Mon"/>
    <x v="16"/>
  </r>
  <r>
    <x v="26"/>
    <d v="1899-12-30T01:00:00"/>
    <x v="7"/>
    <x v="1"/>
    <n v="1"/>
    <n v="12"/>
    <x v="1"/>
    <x v="1"/>
    <x v="0"/>
    <d v="2025-01-27T01:00:00"/>
    <s v="Mon"/>
    <x v="0"/>
  </r>
  <r>
    <x v="26"/>
    <d v="1899-12-30T03:00:00"/>
    <x v="6"/>
    <x v="1"/>
    <n v="1"/>
    <n v="16"/>
    <x v="1"/>
    <x v="0"/>
    <x v="3"/>
    <d v="2025-01-27T03:00:00"/>
    <s v="Mon"/>
    <x v="11"/>
  </r>
  <r>
    <x v="26"/>
    <d v="1899-12-30T03:00:00"/>
    <x v="5"/>
    <x v="1"/>
    <n v="2"/>
    <n v="15"/>
    <x v="1"/>
    <x v="0"/>
    <x v="5"/>
    <d v="2025-01-27T03:00:00"/>
    <s v="Mon"/>
    <x v="11"/>
  </r>
  <r>
    <x v="26"/>
    <d v="1899-12-30T08:00:00"/>
    <x v="2"/>
    <x v="1"/>
    <n v="1"/>
    <n v="10"/>
    <x v="2"/>
    <x v="2"/>
    <x v="2"/>
    <d v="2025-01-27T08:00:00"/>
    <s v="Mon"/>
    <x v="2"/>
  </r>
  <r>
    <x v="26"/>
    <d v="1899-12-30T13:00:00"/>
    <x v="6"/>
    <x v="1"/>
    <n v="1"/>
    <n v="16"/>
    <x v="0"/>
    <x v="0"/>
    <x v="3"/>
    <d v="2025-01-27T13:00:00"/>
    <s v="Mon"/>
    <x v="3"/>
  </r>
  <r>
    <x v="26"/>
    <d v="1899-12-30T14:00:00"/>
    <x v="5"/>
    <x v="1"/>
    <n v="1"/>
    <n v="15"/>
    <x v="1"/>
    <x v="1"/>
    <x v="13"/>
    <d v="2025-01-27T14:00:00"/>
    <s v="Mon"/>
    <x v="4"/>
  </r>
  <r>
    <x v="26"/>
    <d v="1899-12-30T15:00:00"/>
    <x v="4"/>
    <x v="1"/>
    <n v="2"/>
    <n v="14"/>
    <x v="2"/>
    <x v="1"/>
    <x v="6"/>
    <d v="2025-01-27T15:00:00"/>
    <s v="Mon"/>
    <x v="18"/>
  </r>
  <r>
    <x v="26"/>
    <d v="1899-12-30T15:00:00"/>
    <x v="3"/>
    <x v="0"/>
    <n v="3"/>
    <n v="8"/>
    <x v="1"/>
    <x v="0"/>
    <x v="10"/>
    <d v="2025-01-27T15:00:00"/>
    <s v="Mon"/>
    <x v="18"/>
  </r>
  <r>
    <x v="26"/>
    <d v="1899-12-30T15:00:00"/>
    <x v="1"/>
    <x v="0"/>
    <n v="3"/>
    <n v="9"/>
    <x v="0"/>
    <x v="0"/>
    <x v="1"/>
    <d v="2025-01-27T15:00:00"/>
    <s v="Mon"/>
    <x v="18"/>
  </r>
  <r>
    <x v="26"/>
    <d v="1899-12-30T16:00:00"/>
    <x v="0"/>
    <x v="0"/>
    <n v="3"/>
    <n v="6"/>
    <x v="1"/>
    <x v="0"/>
    <x v="8"/>
    <d v="2025-01-27T16:00:00"/>
    <s v="Mon"/>
    <x v="5"/>
  </r>
  <r>
    <x v="26"/>
    <d v="1899-12-30T17:00:00"/>
    <x v="9"/>
    <x v="0"/>
    <n v="1"/>
    <n v="17"/>
    <x v="0"/>
    <x v="0"/>
    <x v="18"/>
    <d v="2025-01-27T17:00:00"/>
    <s v="Mon"/>
    <x v="6"/>
  </r>
  <r>
    <x v="26"/>
    <d v="1899-12-30T18:00:00"/>
    <x v="1"/>
    <x v="0"/>
    <n v="2"/>
    <n v="9"/>
    <x v="1"/>
    <x v="0"/>
    <x v="8"/>
    <d v="2025-01-27T18:00:00"/>
    <s v="Mon"/>
    <x v="22"/>
  </r>
  <r>
    <x v="26"/>
    <d v="1899-12-30T21:00:00"/>
    <x v="0"/>
    <x v="0"/>
    <n v="2"/>
    <n v="6"/>
    <x v="1"/>
    <x v="0"/>
    <x v="0"/>
    <d v="2025-01-27T21:00:00"/>
    <s v="Mon"/>
    <x v="9"/>
  </r>
  <r>
    <x v="26"/>
    <d v="1899-12-30T22:00:00"/>
    <x v="0"/>
    <x v="0"/>
    <n v="2"/>
    <n v="6"/>
    <x v="1"/>
    <x v="0"/>
    <x v="0"/>
    <d v="2025-01-27T22:00:00"/>
    <s v="Mon"/>
    <x v="23"/>
  </r>
  <r>
    <x v="26"/>
    <d v="1899-12-30T23:00:00"/>
    <x v="0"/>
    <x v="0"/>
    <n v="1"/>
    <n v="6"/>
    <x v="1"/>
    <x v="0"/>
    <x v="14"/>
    <d v="2025-01-27T23:00:00"/>
    <s v="Mon"/>
    <x v="15"/>
  </r>
  <r>
    <x v="27"/>
    <d v="1899-12-30T00:00:00"/>
    <x v="6"/>
    <x v="1"/>
    <n v="3"/>
    <n v="16"/>
    <x v="1"/>
    <x v="2"/>
    <x v="9"/>
    <d v="2025-01-28T00:00:00"/>
    <s v="Tue"/>
    <x v="16"/>
  </r>
  <r>
    <x v="27"/>
    <d v="1899-12-30T03:00:00"/>
    <x v="3"/>
    <x v="0"/>
    <n v="2"/>
    <n v="8"/>
    <x v="1"/>
    <x v="2"/>
    <x v="3"/>
    <d v="2025-01-28T03:00:00"/>
    <s v="Tue"/>
    <x v="11"/>
  </r>
  <r>
    <x v="27"/>
    <d v="1899-12-30T05:00:00"/>
    <x v="6"/>
    <x v="1"/>
    <n v="3"/>
    <n v="16"/>
    <x v="1"/>
    <x v="1"/>
    <x v="9"/>
    <d v="2025-01-28T05:00:00"/>
    <s v="Tue"/>
    <x v="17"/>
  </r>
  <r>
    <x v="27"/>
    <d v="1899-12-30T06:00:00"/>
    <x v="6"/>
    <x v="1"/>
    <n v="3"/>
    <n v="16"/>
    <x v="0"/>
    <x v="1"/>
    <x v="9"/>
    <d v="2025-01-28T06:00:00"/>
    <s v="Tue"/>
    <x v="19"/>
  </r>
  <r>
    <x v="27"/>
    <d v="1899-12-30T10:00:00"/>
    <x v="7"/>
    <x v="1"/>
    <n v="1"/>
    <n v="12"/>
    <x v="1"/>
    <x v="0"/>
    <x v="0"/>
    <d v="2025-01-28T10:00:00"/>
    <s v="Tue"/>
    <x v="12"/>
  </r>
  <r>
    <x v="27"/>
    <d v="1899-12-30T10:00:00"/>
    <x v="7"/>
    <x v="1"/>
    <n v="1"/>
    <n v="12"/>
    <x v="0"/>
    <x v="0"/>
    <x v="0"/>
    <d v="2025-01-28T10:00:00"/>
    <s v="Tue"/>
    <x v="12"/>
  </r>
  <r>
    <x v="27"/>
    <d v="1899-12-30T11:00:00"/>
    <x v="4"/>
    <x v="1"/>
    <n v="2"/>
    <n v="14"/>
    <x v="1"/>
    <x v="2"/>
    <x v="6"/>
    <d v="2025-01-28T11:00:00"/>
    <s v="Tue"/>
    <x v="13"/>
  </r>
  <r>
    <x v="27"/>
    <d v="1899-12-30T13:00:00"/>
    <x v="2"/>
    <x v="1"/>
    <n v="1"/>
    <n v="10"/>
    <x v="1"/>
    <x v="0"/>
    <x v="2"/>
    <d v="2025-01-28T13:00:00"/>
    <s v="Tue"/>
    <x v="3"/>
  </r>
  <r>
    <x v="27"/>
    <d v="1899-12-30T14:00:00"/>
    <x v="3"/>
    <x v="0"/>
    <n v="3"/>
    <n v="8"/>
    <x v="1"/>
    <x v="2"/>
    <x v="10"/>
    <d v="2025-01-28T14:00:00"/>
    <s v="Tue"/>
    <x v="4"/>
  </r>
  <r>
    <x v="27"/>
    <d v="1899-12-30T15:00:00"/>
    <x v="3"/>
    <x v="0"/>
    <n v="3"/>
    <n v="8"/>
    <x v="0"/>
    <x v="2"/>
    <x v="10"/>
    <d v="2025-01-28T15:00:00"/>
    <s v="Tue"/>
    <x v="18"/>
  </r>
  <r>
    <x v="27"/>
    <d v="1899-12-30T15:00:00"/>
    <x v="0"/>
    <x v="0"/>
    <n v="2"/>
    <n v="6"/>
    <x v="1"/>
    <x v="2"/>
    <x v="0"/>
    <d v="2025-01-28T15:00:00"/>
    <s v="Tue"/>
    <x v="18"/>
  </r>
  <r>
    <x v="27"/>
    <d v="1899-12-30T16:00:00"/>
    <x v="8"/>
    <x v="0"/>
    <n v="1"/>
    <n v="18"/>
    <x v="1"/>
    <x v="1"/>
    <x v="8"/>
    <d v="2025-01-28T16:00:00"/>
    <s v="Tue"/>
    <x v="5"/>
  </r>
  <r>
    <x v="27"/>
    <d v="1899-12-30T21:00:00"/>
    <x v="3"/>
    <x v="0"/>
    <n v="2"/>
    <n v="8"/>
    <x v="1"/>
    <x v="1"/>
    <x v="3"/>
    <d v="2025-01-28T21:00:00"/>
    <s v="Tue"/>
    <x v="9"/>
  </r>
  <r>
    <x v="27"/>
    <d v="1899-12-30T23:00:00"/>
    <x v="9"/>
    <x v="0"/>
    <n v="2"/>
    <n v="17"/>
    <x v="0"/>
    <x v="2"/>
    <x v="15"/>
    <d v="2025-01-28T23:00:00"/>
    <s v="Tue"/>
    <x v="15"/>
  </r>
  <r>
    <x v="27"/>
    <d v="1899-12-30T23:00:00"/>
    <x v="0"/>
    <x v="0"/>
    <n v="1"/>
    <n v="6"/>
    <x v="1"/>
    <x v="1"/>
    <x v="14"/>
    <d v="2025-01-28T23:00:00"/>
    <s v="Tue"/>
    <x v="15"/>
  </r>
  <r>
    <x v="28"/>
    <d v="1899-12-30T00:00:00"/>
    <x v="2"/>
    <x v="1"/>
    <n v="2"/>
    <n v="10"/>
    <x v="0"/>
    <x v="0"/>
    <x v="12"/>
    <d v="2025-01-29T00:00:00"/>
    <s v="Wed"/>
    <x v="16"/>
  </r>
  <r>
    <x v="28"/>
    <d v="1899-12-30T02:00:00"/>
    <x v="8"/>
    <x v="0"/>
    <n v="3"/>
    <n v="18"/>
    <x v="1"/>
    <x v="2"/>
    <x v="22"/>
    <d v="2025-01-29T02:00:00"/>
    <s v="Wed"/>
    <x v="10"/>
  </r>
  <r>
    <x v="28"/>
    <d v="1899-12-30T04:00:00"/>
    <x v="9"/>
    <x v="0"/>
    <n v="2"/>
    <n v="17"/>
    <x v="1"/>
    <x v="0"/>
    <x v="15"/>
    <d v="2025-01-29T04:00:00"/>
    <s v="Wed"/>
    <x v="1"/>
  </r>
  <r>
    <x v="28"/>
    <d v="1899-12-30T08:00:00"/>
    <x v="3"/>
    <x v="0"/>
    <n v="2"/>
    <n v="8"/>
    <x v="0"/>
    <x v="0"/>
    <x v="3"/>
    <d v="2025-01-29T08:00:00"/>
    <s v="Wed"/>
    <x v="2"/>
  </r>
  <r>
    <x v="28"/>
    <d v="1899-12-30T09:00:00"/>
    <x v="5"/>
    <x v="1"/>
    <n v="1"/>
    <n v="15"/>
    <x v="0"/>
    <x v="0"/>
    <x v="13"/>
    <d v="2025-01-29T09:00:00"/>
    <s v="Wed"/>
    <x v="21"/>
  </r>
  <r>
    <x v="28"/>
    <d v="1899-12-30T09:00:00"/>
    <x v="6"/>
    <x v="1"/>
    <n v="3"/>
    <n v="16"/>
    <x v="0"/>
    <x v="0"/>
    <x v="9"/>
    <d v="2025-01-29T09:00:00"/>
    <s v="Wed"/>
    <x v="21"/>
  </r>
  <r>
    <x v="28"/>
    <d v="1899-12-30T09:00:00"/>
    <x v="0"/>
    <x v="0"/>
    <n v="1"/>
    <n v="6"/>
    <x v="1"/>
    <x v="2"/>
    <x v="14"/>
    <d v="2025-01-29T09:00:00"/>
    <s v="Wed"/>
    <x v="21"/>
  </r>
  <r>
    <x v="28"/>
    <d v="1899-12-30T11:00:00"/>
    <x v="9"/>
    <x v="0"/>
    <n v="2"/>
    <n v="17"/>
    <x v="0"/>
    <x v="2"/>
    <x v="15"/>
    <d v="2025-01-29T11:00:00"/>
    <s v="Wed"/>
    <x v="13"/>
  </r>
  <r>
    <x v="28"/>
    <d v="1899-12-30T11:00:00"/>
    <x v="5"/>
    <x v="1"/>
    <n v="3"/>
    <n v="15"/>
    <x v="1"/>
    <x v="2"/>
    <x v="20"/>
    <d v="2025-01-29T11:00:00"/>
    <s v="Wed"/>
    <x v="13"/>
  </r>
  <r>
    <x v="28"/>
    <d v="1899-12-30T11:00:00"/>
    <x v="9"/>
    <x v="0"/>
    <n v="1"/>
    <n v="17"/>
    <x v="0"/>
    <x v="0"/>
    <x v="18"/>
    <d v="2025-01-29T11:00:00"/>
    <s v="Wed"/>
    <x v="13"/>
  </r>
  <r>
    <x v="28"/>
    <d v="1899-12-30T12:00:00"/>
    <x v="4"/>
    <x v="1"/>
    <n v="2"/>
    <n v="14"/>
    <x v="1"/>
    <x v="1"/>
    <x v="6"/>
    <d v="2025-01-29T12:00:00"/>
    <s v="Wed"/>
    <x v="14"/>
  </r>
  <r>
    <x v="28"/>
    <d v="1899-12-30T13:00:00"/>
    <x v="7"/>
    <x v="1"/>
    <n v="1"/>
    <n v="12"/>
    <x v="1"/>
    <x v="0"/>
    <x v="0"/>
    <d v="2025-01-29T13:00:00"/>
    <s v="Wed"/>
    <x v="3"/>
  </r>
  <r>
    <x v="28"/>
    <d v="1899-12-30T14:00:00"/>
    <x v="8"/>
    <x v="0"/>
    <n v="1"/>
    <n v="18"/>
    <x v="0"/>
    <x v="0"/>
    <x v="8"/>
    <d v="2025-01-29T14:00:00"/>
    <s v="Wed"/>
    <x v="4"/>
  </r>
  <r>
    <x v="28"/>
    <d v="1899-12-30T15:00:00"/>
    <x v="7"/>
    <x v="1"/>
    <n v="1"/>
    <n v="12"/>
    <x v="1"/>
    <x v="0"/>
    <x v="0"/>
    <d v="2025-01-29T15:00:00"/>
    <s v="Wed"/>
    <x v="18"/>
  </r>
  <r>
    <x v="28"/>
    <d v="1899-12-30T18:00:00"/>
    <x v="6"/>
    <x v="1"/>
    <n v="3"/>
    <n v="16"/>
    <x v="1"/>
    <x v="0"/>
    <x v="9"/>
    <d v="2025-01-29T18:00:00"/>
    <s v="Wed"/>
    <x v="22"/>
  </r>
  <r>
    <x v="28"/>
    <d v="1899-12-30T19:00:00"/>
    <x v="8"/>
    <x v="0"/>
    <n v="2"/>
    <n v="18"/>
    <x v="1"/>
    <x v="0"/>
    <x v="11"/>
    <d v="2025-01-29T19:00:00"/>
    <s v="Wed"/>
    <x v="7"/>
  </r>
  <r>
    <x v="29"/>
    <d v="1899-12-30T01:00:00"/>
    <x v="0"/>
    <x v="0"/>
    <n v="3"/>
    <n v="6"/>
    <x v="0"/>
    <x v="0"/>
    <x v="8"/>
    <d v="2025-01-30T01:00:00"/>
    <s v="Thu"/>
    <x v="0"/>
  </r>
  <r>
    <x v="29"/>
    <d v="1899-12-30T02:00:00"/>
    <x v="5"/>
    <x v="1"/>
    <n v="2"/>
    <n v="15"/>
    <x v="1"/>
    <x v="2"/>
    <x v="5"/>
    <d v="2025-01-30T02:00:00"/>
    <s v="Thu"/>
    <x v="10"/>
  </r>
  <r>
    <x v="29"/>
    <d v="1899-12-30T02:00:00"/>
    <x v="7"/>
    <x v="1"/>
    <n v="2"/>
    <n v="12"/>
    <x v="1"/>
    <x v="1"/>
    <x v="10"/>
    <d v="2025-01-30T02:00:00"/>
    <s v="Thu"/>
    <x v="10"/>
  </r>
  <r>
    <x v="29"/>
    <d v="1899-12-30T03:00:00"/>
    <x v="9"/>
    <x v="0"/>
    <n v="3"/>
    <n v="17"/>
    <x v="1"/>
    <x v="0"/>
    <x v="16"/>
    <d v="2025-01-30T03:00:00"/>
    <s v="Thu"/>
    <x v="11"/>
  </r>
  <r>
    <x v="29"/>
    <d v="1899-12-30T03:00:00"/>
    <x v="9"/>
    <x v="0"/>
    <n v="3"/>
    <n v="17"/>
    <x v="1"/>
    <x v="0"/>
    <x v="16"/>
    <d v="2025-01-30T03:00:00"/>
    <s v="Thu"/>
    <x v="11"/>
  </r>
  <r>
    <x v="29"/>
    <d v="1899-12-30T04:00:00"/>
    <x v="8"/>
    <x v="0"/>
    <n v="3"/>
    <n v="18"/>
    <x v="2"/>
    <x v="0"/>
    <x v="22"/>
    <d v="2025-01-30T04:00:00"/>
    <s v="Thu"/>
    <x v="1"/>
  </r>
  <r>
    <x v="29"/>
    <d v="1899-12-30T05:00:00"/>
    <x v="4"/>
    <x v="1"/>
    <n v="2"/>
    <n v="14"/>
    <x v="2"/>
    <x v="1"/>
    <x v="6"/>
    <d v="2025-01-30T05:00:00"/>
    <s v="Thu"/>
    <x v="17"/>
  </r>
  <r>
    <x v="29"/>
    <d v="1899-12-30T06:00:00"/>
    <x v="2"/>
    <x v="1"/>
    <n v="1"/>
    <n v="10"/>
    <x v="1"/>
    <x v="0"/>
    <x v="2"/>
    <d v="2025-01-30T06:00:00"/>
    <s v="Thu"/>
    <x v="19"/>
  </r>
  <r>
    <x v="29"/>
    <d v="1899-12-30T09:00:00"/>
    <x v="1"/>
    <x v="0"/>
    <n v="2"/>
    <n v="9"/>
    <x v="1"/>
    <x v="1"/>
    <x v="8"/>
    <d v="2025-01-30T09:00:00"/>
    <s v="Thu"/>
    <x v="21"/>
  </r>
  <r>
    <x v="29"/>
    <d v="1899-12-30T13:00:00"/>
    <x v="6"/>
    <x v="1"/>
    <n v="2"/>
    <n v="16"/>
    <x v="0"/>
    <x v="0"/>
    <x v="7"/>
    <d v="2025-01-30T13:00:00"/>
    <s v="Thu"/>
    <x v="3"/>
  </r>
  <r>
    <x v="29"/>
    <d v="1899-12-30T13:00:00"/>
    <x v="7"/>
    <x v="1"/>
    <n v="1"/>
    <n v="12"/>
    <x v="0"/>
    <x v="0"/>
    <x v="0"/>
    <d v="2025-01-30T13:00:00"/>
    <s v="Thu"/>
    <x v="3"/>
  </r>
  <r>
    <x v="29"/>
    <d v="1899-12-30T14:00:00"/>
    <x v="9"/>
    <x v="0"/>
    <n v="1"/>
    <n v="17"/>
    <x v="1"/>
    <x v="0"/>
    <x v="18"/>
    <d v="2025-01-30T14:00:00"/>
    <s v="Thu"/>
    <x v="4"/>
  </r>
  <r>
    <x v="29"/>
    <d v="1899-12-30T23:00:00"/>
    <x v="2"/>
    <x v="1"/>
    <n v="3"/>
    <n v="10"/>
    <x v="1"/>
    <x v="0"/>
    <x v="5"/>
    <d v="2025-01-30T23:00:00"/>
    <s v="Thu"/>
    <x v="15"/>
  </r>
  <r>
    <x v="29"/>
    <d v="1899-12-30T23:00:00"/>
    <x v="0"/>
    <x v="0"/>
    <n v="2"/>
    <n v="6"/>
    <x v="1"/>
    <x v="1"/>
    <x v="0"/>
    <d v="2025-01-30T23:00:00"/>
    <s v="Thu"/>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120761-EC5D-470D-80BD-6A2FDD1670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A3:B34" firstHeaderRow="1" firstDataRow="1" firstDataCol="1"/>
  <pivotFields count="12">
    <pivotField axis="axisRow"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umFmtId="164" showAll="0"/>
    <pivotField showAll="0"/>
    <pivotField showAll="0">
      <items count="3">
        <item x="1"/>
        <item x="0"/>
        <item t="default"/>
      </items>
    </pivotField>
    <pivotField showAll="0"/>
    <pivotField showAll="0"/>
    <pivotField showAll="0">
      <items count="4">
        <item x="1"/>
        <item x="0"/>
        <item x="2"/>
        <item t="default"/>
      </items>
    </pivotField>
    <pivotField showAll="0">
      <items count="4">
        <item x="1"/>
        <item x="0"/>
        <item x="2"/>
        <item t="default"/>
      </items>
    </pivotField>
    <pivotField dataField="1" showAll="0">
      <items count="24">
        <item x="14"/>
        <item x="17"/>
        <item x="21"/>
        <item x="2"/>
        <item x="0"/>
        <item x="19"/>
        <item x="13"/>
        <item x="3"/>
        <item x="18"/>
        <item x="8"/>
        <item x="12"/>
        <item x="10"/>
        <item x="1"/>
        <item x="6"/>
        <item x="5"/>
        <item x="7"/>
        <item x="15"/>
        <item x="11"/>
        <item x="4"/>
        <item x="20"/>
        <item x="9"/>
        <item x="16"/>
        <item x="22"/>
        <item t="default"/>
      </items>
    </pivotField>
    <pivotField numFmtId="22" showAll="0"/>
    <pivotField showAll="0"/>
    <pivotField numFmtI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Revenue" fld="8" baseField="0" baseItem="0"/>
  </dataFields>
  <chartFormats count="1">
    <chartFormat chart="6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A147F5-5133-4BC2-AEF1-DC1F50483A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28" firstHeaderRow="1" firstDataRow="1" firstDataCol="1"/>
  <pivotFields count="12">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umFmtId="164" showAll="0"/>
    <pivotField showAll="0"/>
    <pivotField showAll="0">
      <items count="3">
        <item x="1"/>
        <item x="0"/>
        <item t="default"/>
      </items>
    </pivotField>
    <pivotField showAll="0"/>
    <pivotField showAll="0"/>
    <pivotField showAll="0">
      <items count="4">
        <item x="1"/>
        <item x="0"/>
        <item x="2"/>
        <item t="default"/>
      </items>
    </pivotField>
    <pivotField showAll="0">
      <items count="4">
        <item x="1"/>
        <item x="0"/>
        <item x="2"/>
        <item t="default"/>
      </items>
    </pivotField>
    <pivotField dataField="1" showAll="0"/>
    <pivotField numFmtId="22" showAll="0"/>
    <pivotField showAll="0"/>
    <pivotField axis="axisRow" numFmtId="1" showAll="0">
      <items count="25">
        <item x="16"/>
        <item x="0"/>
        <item x="10"/>
        <item x="11"/>
        <item x="1"/>
        <item x="17"/>
        <item x="19"/>
        <item x="20"/>
        <item x="2"/>
        <item x="21"/>
        <item x="12"/>
        <item x="13"/>
        <item x="14"/>
        <item x="3"/>
        <item x="4"/>
        <item x="18"/>
        <item x="5"/>
        <item x="6"/>
        <item x="22"/>
        <item x="7"/>
        <item x="8"/>
        <item x="9"/>
        <item x="23"/>
        <item x="15"/>
        <item t="default"/>
      </items>
    </pivotField>
  </pivotFields>
  <rowFields count="1">
    <field x="1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8" baseField="0" baseItem="0"/>
  </dataFields>
  <chartFormats count="1">
    <chartFormat chart="1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4B909A-B8EF-469B-B511-8184D90960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2">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umFmtId="164" showAll="0"/>
    <pivotField showAll="0"/>
    <pivotField axis="axisRow" showAll="0">
      <items count="3">
        <item x="1"/>
        <item x="0"/>
        <item t="default"/>
      </items>
    </pivotField>
    <pivotField showAll="0"/>
    <pivotField showAll="0"/>
    <pivotField showAll="0">
      <items count="4">
        <item x="1"/>
        <item x="0"/>
        <item x="2"/>
        <item t="default"/>
      </items>
    </pivotField>
    <pivotField showAll="0">
      <items count="4">
        <item x="1"/>
        <item x="0"/>
        <item x="2"/>
        <item t="default"/>
      </items>
    </pivotField>
    <pivotField dataField="1" showAll="0"/>
    <pivotField numFmtId="22" showAll="0"/>
    <pivotField showAll="0"/>
    <pivotField numFmtId="1" showAll="0"/>
  </pivotFields>
  <rowFields count="1">
    <field x="3"/>
  </rowFields>
  <rowItems count="3">
    <i>
      <x/>
    </i>
    <i>
      <x v="1"/>
    </i>
    <i t="grand">
      <x/>
    </i>
  </rowItems>
  <colItems count="1">
    <i/>
  </colItems>
  <dataFields count="1">
    <dataField name="Sum of Revenue" fld="8" baseField="0" baseItem="0"/>
  </dataFields>
  <chartFormats count="3">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3"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EB2747-67F4-4E8E-93B4-94C8B08AC2E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2">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umFmtId="164" showAll="0"/>
    <pivotField showAll="0"/>
    <pivotField showAll="0">
      <items count="3">
        <item x="1"/>
        <item x="0"/>
        <item t="default"/>
      </items>
    </pivotField>
    <pivotField showAll="0"/>
    <pivotField showAll="0"/>
    <pivotField showAll="0">
      <items count="4">
        <item x="1"/>
        <item x="0"/>
        <item x="2"/>
        <item t="default"/>
      </items>
    </pivotField>
    <pivotField axis="axisRow" showAll="0">
      <items count="4">
        <item x="1"/>
        <item x="0"/>
        <item x="2"/>
        <item t="default"/>
      </items>
    </pivotField>
    <pivotField dataField="1" showAll="0"/>
    <pivotField numFmtId="22" showAll="0"/>
    <pivotField showAll="0"/>
    <pivotField numFmtId="1" showAll="0"/>
  </pivotFields>
  <rowFields count="1">
    <field x="7"/>
  </rowFields>
  <rowItems count="4">
    <i>
      <x/>
    </i>
    <i>
      <x v="1"/>
    </i>
    <i>
      <x v="2"/>
    </i>
    <i t="grand">
      <x/>
    </i>
  </rowItems>
  <colItems count="1">
    <i/>
  </colItems>
  <dataFields count="1">
    <dataField name="Sum of Revenue" fld="8" baseField="0" baseItem="0"/>
  </dataField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348350-1C85-4292-974F-E03365A35DE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12">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umFmtId="164" showAll="0"/>
    <pivotField axis="axisRow" showAll="0" measureFilter="1">
      <items count="11">
        <item x="7"/>
        <item x="4"/>
        <item x="0"/>
        <item x="1"/>
        <item x="2"/>
        <item x="5"/>
        <item x="6"/>
        <item x="3"/>
        <item x="9"/>
        <item x="8"/>
        <item t="default"/>
      </items>
    </pivotField>
    <pivotField showAll="0">
      <items count="3">
        <item x="1"/>
        <item x="0"/>
        <item t="default"/>
      </items>
    </pivotField>
    <pivotField showAll="0"/>
    <pivotField showAll="0"/>
    <pivotField showAll="0">
      <items count="4">
        <item x="1"/>
        <item x="0"/>
        <item x="2"/>
        <item t="default"/>
      </items>
    </pivotField>
    <pivotField showAll="0">
      <items count="4">
        <item x="1"/>
        <item x="0"/>
        <item x="2"/>
        <item t="default"/>
      </items>
    </pivotField>
    <pivotField dataField="1" showAll="0"/>
    <pivotField numFmtId="22" showAll="0"/>
    <pivotField showAll="0"/>
    <pivotField numFmtId="1" showAll="0"/>
  </pivotFields>
  <rowFields count="1">
    <field x="2"/>
  </rowFields>
  <rowItems count="11">
    <i>
      <x/>
    </i>
    <i>
      <x v="1"/>
    </i>
    <i>
      <x v="2"/>
    </i>
    <i>
      <x v="3"/>
    </i>
    <i>
      <x v="4"/>
    </i>
    <i>
      <x v="5"/>
    </i>
    <i>
      <x v="6"/>
    </i>
    <i>
      <x v="7"/>
    </i>
    <i>
      <x v="8"/>
    </i>
    <i>
      <x v="9"/>
    </i>
    <i t="grand">
      <x/>
    </i>
  </rowItems>
  <colItems count="1">
    <i/>
  </colItems>
  <dataFields count="1">
    <dataField name="Sum of Revenue" fld="8" baseField="0" baseItem="0"/>
  </dataFields>
  <chartFormats count="1">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1F7C2CA-F6DB-4330-804C-45448BD63D8C}" autoFormatId="16" applyNumberFormats="0" applyBorderFormats="0" applyFontFormats="0" applyPatternFormats="0" applyAlignmentFormats="0" applyWidthHeightFormats="0">
  <queryTableRefresh nextId="13" unboundColumnsRight="3">
    <queryTableFields count="12">
      <queryTableField id="1" name="Date" tableColumnId="1"/>
      <queryTableField id="2" name="Time" tableColumnId="2"/>
      <queryTableField id="3" name="Item" tableColumnId="3"/>
      <queryTableField id="4" name="Category" tableColumnId="4"/>
      <queryTableField id="5" name="Quantity" tableColumnId="5"/>
      <queryTableField id="6" name="UnitPrice" tableColumnId="6"/>
      <queryTableField id="7" name="PaymentMethod" tableColumnId="7"/>
      <queryTableField id="8" name="Branch" tableColumnId="8"/>
      <queryTableField id="9" name="Revenue" tableColumnId="9"/>
      <queryTableField id="10" dataBound="0" tableColumnId="10"/>
      <queryTableField id="11" dataBound="0"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34B1F9CE-3534-4E79-BB03-30858DD65EBD}" sourceName="Date">
  <pivotTables>
    <pivotTable tabId="3" name="PivotTable1"/>
    <pivotTable tabId="7" name="PivotTable5"/>
    <pivotTable tabId="5" name="PivotTable3"/>
    <pivotTable tabId="4" name="PivotTable2"/>
    <pivotTable tabId="6" name="PivotTable4"/>
  </pivotTables>
  <data>
    <tabular pivotCacheId="775689137">
      <items count="30">
        <i x="0" s="1"/>
        <i x="1" s="1"/>
        <i x="2" s="1"/>
        <i x="3" s="1"/>
        <i x="4" s="1"/>
        <i x="5" s="1"/>
        <i x="6" s="1"/>
        <i x="7" s="1"/>
        <i x="8" s="1"/>
        <i x="9" s="1"/>
        <i x="10" s="1"/>
        <i x="11" s="1"/>
        <i x="12" s="1"/>
        <i x="13" s="1"/>
        <i x="14" s="1"/>
        <i x="15" s="1"/>
        <i x="16" s="1"/>
        <i x="17" s="1"/>
        <i x="18" s="1"/>
        <i x="19" s="1"/>
        <i x="20" s="1"/>
        <i x="21" s="1"/>
        <i x="22" s="1"/>
        <i x="23" s="1"/>
        <i x="24" s="1"/>
        <i x="25" s="1"/>
        <i x="26" s="1"/>
        <i x="27" s="1"/>
        <i x="28" s="1"/>
        <i x="2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95F740A-1754-45FB-96A7-3B97CB07EB34}" sourceName="Category">
  <pivotTables>
    <pivotTable tabId="3" name="PivotTable1"/>
    <pivotTable tabId="7" name="PivotTable5"/>
    <pivotTable tabId="5" name="PivotTable3"/>
    <pivotTable tabId="4" name="PivotTable2"/>
    <pivotTable tabId="6" name="PivotTable4"/>
  </pivotTables>
  <data>
    <tabular pivotCacheId="77568913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B4E43A16-F805-4060-9619-AB1D9720B8B1}" sourceName="PaymentMethod">
  <pivotTables>
    <pivotTable tabId="3" name="PivotTable1"/>
    <pivotTable tabId="7" name="PivotTable5"/>
    <pivotTable tabId="5" name="PivotTable3"/>
    <pivotTable tabId="4" name="PivotTable2"/>
    <pivotTable tabId="6" name="PivotTable4"/>
  </pivotTables>
  <data>
    <tabular pivotCacheId="775689137">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4A2C0478-CDEF-4FBA-88E1-ADF2F6FD0CEA}" sourceName="Branch">
  <pivotTables>
    <pivotTable tabId="3" name="PivotTable1"/>
    <pivotTable tabId="7" name="PivotTable5"/>
    <pivotTable tabId="5" name="PivotTable3"/>
    <pivotTable tabId="4" name="PivotTable2"/>
    <pivotTable tabId="6" name="PivotTable4"/>
  </pivotTables>
  <data>
    <tabular pivotCacheId="77568913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6F854782-69F8-4791-80B8-77F31CAD33A1}" cache="Slicer_Date" caption="Date" rowHeight="249238"/>
  <slicer name="Category" xr10:uid="{134C8EE6-ACB3-4847-AEE2-6EC133B240FB}" cache="Slicer_Category" caption="Category" rowHeight="249238"/>
  <slicer name="PaymentMethod" xr10:uid="{932D128C-F684-4AE4-91B0-5745D5D3AD8D}" cache="Slicer_PaymentMethod" caption="PaymentMethod" rowHeight="249238"/>
  <slicer name="Branch" xr10:uid="{6445D632-B4E9-41EB-AB83-AA5588F7E058}" cache="Slicer_Branch" caption="Branch"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DECB99-D052-4231-94EF-AC64A25908D2}" name="tblSales" displayName="tblSales" ref="A1:L401" tableType="queryTable" totalsRowShown="0">
  <autoFilter ref="A1:L401" xr:uid="{61DECB99-D052-4231-94EF-AC64A25908D2}"/>
  <tableColumns count="12">
    <tableColumn id="1" xr3:uid="{B0AE4B4B-82E1-4E7F-8AFC-7C5FCDC9AB75}" uniqueName="1" name="Date" queryTableFieldId="1" dataDxfId="8"/>
    <tableColumn id="2" xr3:uid="{91A2E9B4-CD58-4029-9015-44429D5416C4}" uniqueName="2" name="Time" queryTableFieldId="2" dataDxfId="7"/>
    <tableColumn id="3" xr3:uid="{C239C72D-F06F-484E-9B30-1EB2F1EC6124}" uniqueName="3" name="Item" queryTableFieldId="3" dataDxfId="6"/>
    <tableColumn id="4" xr3:uid="{3FC0CFCF-C20F-475F-81BB-9D5902664228}" uniqueName="4" name="Category" queryTableFieldId="4" dataDxfId="5"/>
    <tableColumn id="5" xr3:uid="{DBEAD1D8-383C-4EF4-98F5-DC35659590CF}" uniqueName="5" name="Quantity" queryTableFieldId="5"/>
    <tableColumn id="6" xr3:uid="{0107CDAF-2CFF-48AA-BB72-E02053217150}" uniqueName="6" name="UnitPrice" queryTableFieldId="6"/>
    <tableColumn id="7" xr3:uid="{12378505-18F7-4061-9350-FA0DB9175E4D}" uniqueName="7" name="PaymentMethod" queryTableFieldId="7" dataDxfId="4"/>
    <tableColumn id="8" xr3:uid="{D0E3E936-7773-4363-8393-99DAF26F1416}" uniqueName="8" name="Branch" queryTableFieldId="8" dataDxfId="3"/>
    <tableColumn id="9" xr3:uid="{6D6412A6-6DCB-42DD-9515-EF4CD52F5D2C}" uniqueName="9" name="Revenue" queryTableFieldId="9"/>
    <tableColumn id="10" xr3:uid="{D64F71BB-C7BE-480F-A903-FC9DB00B56C6}" uniqueName="10" name="DateTime" queryTableFieldId="10" dataDxfId="2">
      <calculatedColumnFormula>A2+B2</calculatedColumnFormula>
    </tableColumn>
    <tableColumn id="11" xr3:uid="{93864DF7-6450-44F8-A7BB-6BAC1C812F65}" uniqueName="11" name="Weekday" queryTableFieldId="11" dataDxfId="1">
      <calculatedColumnFormula>TEXT(tblSales[[#This Row],[Date]],"ddd")</calculatedColumnFormula>
    </tableColumn>
    <tableColumn id="12" xr3:uid="{A62E081A-BC85-4D12-92D7-B683693BBE47}" uniqueName="12" name="Hour" queryTableFieldId="12" dataDxfId="0">
      <calculatedColumnFormula xml:space="preserve"> HOUR(B2)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F461-73B7-4B41-B8BD-255DBA78AA30}">
  <dimension ref="A1:F54"/>
  <sheetViews>
    <sheetView showGridLines="0" tabSelected="1" zoomScale="51" workbookViewId="0">
      <selection activeCell="J56" sqref="J56"/>
    </sheetView>
  </sheetViews>
  <sheetFormatPr defaultRowHeight="14.25" x14ac:dyDescent="0.45"/>
  <cols>
    <col min="1" max="1" width="34.19921875" bestFit="1" customWidth="1"/>
    <col min="2" max="2" width="9.86328125" bestFit="1" customWidth="1"/>
  </cols>
  <sheetData>
    <row r="1" spans="1:6" ht="31.9" x14ac:dyDescent="1">
      <c r="A1" s="15" t="s">
        <v>33</v>
      </c>
      <c r="B1" s="15"/>
      <c r="C1" s="15"/>
      <c r="D1" s="15"/>
      <c r="E1" s="15"/>
      <c r="F1" s="15"/>
    </row>
    <row r="3" spans="1:6" ht="21" x14ac:dyDescent="0.65">
      <c r="A3" s="10" t="s">
        <v>34</v>
      </c>
      <c r="B3" s="9">
        <f xml:space="preserve"> SUM(tblSales[Revenue])</f>
        <v>9978</v>
      </c>
    </row>
    <row r="4" spans="1:6" ht="21" x14ac:dyDescent="0.65">
      <c r="A4" s="10" t="s">
        <v>35</v>
      </c>
      <c r="B4" s="11">
        <f xml:space="preserve"> ROWS(tblSales[Revenue])</f>
        <v>400</v>
      </c>
    </row>
    <row r="5" spans="1:6" ht="21" x14ac:dyDescent="0.65">
      <c r="A5" s="10" t="s">
        <v>36</v>
      </c>
      <c r="B5" s="12">
        <f xml:space="preserve"> B3 / B4</f>
        <v>24.945</v>
      </c>
    </row>
    <row r="6" spans="1:6" ht="21" x14ac:dyDescent="0.65">
      <c r="A6" s="10" t="s">
        <v>37</v>
      </c>
      <c r="B6" s="11">
        <f xml:space="preserve"> SUM(tblSales[Quantity])</f>
        <v>793</v>
      </c>
    </row>
    <row r="54" spans="1:6" ht="31.9" x14ac:dyDescent="1">
      <c r="A54" s="14" t="s">
        <v>38</v>
      </c>
      <c r="B54" s="13"/>
      <c r="C54" s="13"/>
      <c r="D54" s="13"/>
      <c r="E54" s="13"/>
      <c r="F54" s="13"/>
    </row>
  </sheetData>
  <mergeCells count="1">
    <mergeCell ref="A1:F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0690D-17F3-41A1-8A7A-9521C04B9EA1}">
  <dimension ref="A1:L401"/>
  <sheetViews>
    <sheetView topLeftCell="A370" workbookViewId="0">
      <selection sqref="A1:L401"/>
    </sheetView>
  </sheetViews>
  <sheetFormatPr defaultRowHeight="14.25" x14ac:dyDescent="0.45"/>
  <cols>
    <col min="1" max="1" width="8.9296875" style="1" bestFit="1" customWidth="1"/>
    <col min="2" max="2" width="10.53125" style="2" bestFit="1" customWidth="1"/>
    <col min="3" max="3" width="10.19921875" bestFit="1" customWidth="1"/>
    <col min="4" max="4" width="10.06640625" bestFit="1" customWidth="1"/>
    <col min="5" max="5" width="9.6640625" bestFit="1" customWidth="1"/>
    <col min="6" max="6" width="10.33203125" bestFit="1" customWidth="1"/>
    <col min="7" max="7" width="16" bestFit="1" customWidth="1"/>
    <col min="9" max="9" width="9.9296875" bestFit="1" customWidth="1"/>
    <col min="10" max="10" width="13.86328125" bestFit="1" customWidth="1"/>
    <col min="11" max="11" width="10.265625" bestFit="1" customWidth="1"/>
    <col min="12" max="12" width="9.06640625" style="4"/>
  </cols>
  <sheetData>
    <row r="1" spans="1:12" x14ac:dyDescent="0.45">
      <c r="A1" s="1" t="s">
        <v>0</v>
      </c>
      <c r="B1" s="2" t="s">
        <v>1</v>
      </c>
      <c r="C1" t="s">
        <v>2</v>
      </c>
      <c r="D1" t="s">
        <v>3</v>
      </c>
      <c r="E1" t="s">
        <v>4</v>
      </c>
      <c r="F1" t="s">
        <v>5</v>
      </c>
      <c r="G1" t="s">
        <v>6</v>
      </c>
      <c r="H1" t="s">
        <v>7</v>
      </c>
      <c r="I1" t="s">
        <v>8</v>
      </c>
      <c r="J1" t="s">
        <v>27</v>
      </c>
      <c r="K1" t="s">
        <v>28</v>
      </c>
      <c r="L1" s="4" t="s">
        <v>29</v>
      </c>
    </row>
    <row r="2" spans="1:12" x14ac:dyDescent="0.45">
      <c r="A2" s="1">
        <v>45658</v>
      </c>
      <c r="B2" s="2">
        <v>4.1666666666666664E-2</v>
      </c>
      <c r="C2" t="s">
        <v>9</v>
      </c>
      <c r="D2" t="s">
        <v>10</v>
      </c>
      <c r="E2">
        <v>2</v>
      </c>
      <c r="F2">
        <v>6</v>
      </c>
      <c r="G2" t="s">
        <v>11</v>
      </c>
      <c r="H2" t="s">
        <v>12</v>
      </c>
      <c r="I2">
        <v>12</v>
      </c>
      <c r="J2" s="3">
        <f t="shared" ref="J2:J65" si="0">A2+B2</f>
        <v>45658.041666666664</v>
      </c>
      <c r="K2" t="str">
        <f>TEXT(tblSales[[#This Row],[Date]],"ddd")</f>
        <v>Wed</v>
      </c>
      <c r="L2" s="4">
        <f t="shared" ref="L2:L65" si="1" xml:space="preserve"> HOUR(B2)</f>
        <v>1</v>
      </c>
    </row>
    <row r="3" spans="1:12" x14ac:dyDescent="0.45">
      <c r="A3" s="1">
        <v>45658</v>
      </c>
      <c r="B3" s="2">
        <v>4.1666666666666664E-2</v>
      </c>
      <c r="C3" t="s">
        <v>13</v>
      </c>
      <c r="D3" t="s">
        <v>10</v>
      </c>
      <c r="E3">
        <v>3</v>
      </c>
      <c r="F3">
        <v>9</v>
      </c>
      <c r="G3" t="s">
        <v>14</v>
      </c>
      <c r="H3" t="s">
        <v>12</v>
      </c>
      <c r="I3">
        <v>27</v>
      </c>
      <c r="J3" s="3">
        <f t="shared" si="0"/>
        <v>45658.041666666664</v>
      </c>
      <c r="K3" t="str">
        <f>TEXT(tblSales[[#This Row],[Date]],"ddd")</f>
        <v>Wed</v>
      </c>
      <c r="L3" s="4">
        <f xml:space="preserve"> HOUR(B3)</f>
        <v>1</v>
      </c>
    </row>
    <row r="4" spans="1:12" x14ac:dyDescent="0.45">
      <c r="A4" s="1">
        <v>45658</v>
      </c>
      <c r="B4" s="2">
        <v>4.1666666666666664E-2</v>
      </c>
      <c r="C4" t="s">
        <v>15</v>
      </c>
      <c r="D4" t="s">
        <v>16</v>
      </c>
      <c r="E4">
        <v>1</v>
      </c>
      <c r="F4">
        <v>10</v>
      </c>
      <c r="G4" t="s">
        <v>11</v>
      </c>
      <c r="H4" t="s">
        <v>17</v>
      </c>
      <c r="I4">
        <v>10</v>
      </c>
      <c r="J4" s="3">
        <f t="shared" si="0"/>
        <v>45658.041666666664</v>
      </c>
      <c r="K4" t="str">
        <f>TEXT(tblSales[[#This Row],[Date]],"ddd")</f>
        <v>Wed</v>
      </c>
      <c r="L4" s="4">
        <f t="shared" si="1"/>
        <v>1</v>
      </c>
    </row>
    <row r="5" spans="1:12" x14ac:dyDescent="0.45">
      <c r="A5" s="1">
        <v>45658</v>
      </c>
      <c r="B5" s="2">
        <v>0.16666666666666666</v>
      </c>
      <c r="C5" t="s">
        <v>18</v>
      </c>
      <c r="D5" t="s">
        <v>10</v>
      </c>
      <c r="E5">
        <v>2</v>
      </c>
      <c r="F5">
        <v>8</v>
      </c>
      <c r="G5" t="s">
        <v>11</v>
      </c>
      <c r="H5" t="s">
        <v>19</v>
      </c>
      <c r="I5">
        <v>16</v>
      </c>
      <c r="J5" s="3">
        <f t="shared" si="0"/>
        <v>45658.166666666664</v>
      </c>
      <c r="K5" t="str">
        <f>TEXT(tblSales[[#This Row],[Date]],"ddd")</f>
        <v>Wed</v>
      </c>
      <c r="L5" s="4">
        <f t="shared" si="1"/>
        <v>4</v>
      </c>
    </row>
    <row r="6" spans="1:12" x14ac:dyDescent="0.45">
      <c r="A6" s="1">
        <v>45658</v>
      </c>
      <c r="B6" s="2">
        <v>0.33333333333333331</v>
      </c>
      <c r="C6" t="s">
        <v>20</v>
      </c>
      <c r="D6" t="s">
        <v>16</v>
      </c>
      <c r="E6">
        <v>3</v>
      </c>
      <c r="F6">
        <v>14</v>
      </c>
      <c r="G6" t="s">
        <v>11</v>
      </c>
      <c r="H6" t="s">
        <v>12</v>
      </c>
      <c r="I6">
        <v>42</v>
      </c>
      <c r="J6" s="3">
        <f t="shared" si="0"/>
        <v>45658.333333333336</v>
      </c>
      <c r="K6" t="str">
        <f>TEXT(tblSales[[#This Row],[Date]],"ddd")</f>
        <v>Wed</v>
      </c>
      <c r="L6" s="4">
        <f xml:space="preserve"> HOUR(B6)</f>
        <v>8</v>
      </c>
    </row>
    <row r="7" spans="1:12" x14ac:dyDescent="0.45">
      <c r="A7" s="1">
        <v>45658</v>
      </c>
      <c r="B7" s="2">
        <v>0.54166666666666663</v>
      </c>
      <c r="C7" t="s">
        <v>21</v>
      </c>
      <c r="D7" t="s">
        <v>16</v>
      </c>
      <c r="E7">
        <v>2</v>
      </c>
      <c r="F7">
        <v>15</v>
      </c>
      <c r="G7" t="s">
        <v>14</v>
      </c>
      <c r="H7" t="s">
        <v>19</v>
      </c>
      <c r="I7">
        <v>30</v>
      </c>
      <c r="J7" s="3">
        <f t="shared" si="0"/>
        <v>45658.541666666664</v>
      </c>
      <c r="K7" t="str">
        <f>TEXT(tblSales[[#This Row],[Date]],"ddd")</f>
        <v>Wed</v>
      </c>
      <c r="L7" s="4">
        <f t="shared" si="1"/>
        <v>13</v>
      </c>
    </row>
    <row r="8" spans="1:12" x14ac:dyDescent="0.45">
      <c r="A8" s="1">
        <v>45658</v>
      </c>
      <c r="B8" s="2">
        <v>0.58333333333333337</v>
      </c>
      <c r="C8" t="s">
        <v>20</v>
      </c>
      <c r="D8" t="s">
        <v>16</v>
      </c>
      <c r="E8">
        <v>2</v>
      </c>
      <c r="F8">
        <v>14</v>
      </c>
      <c r="G8" t="s">
        <v>11</v>
      </c>
      <c r="H8" t="s">
        <v>12</v>
      </c>
      <c r="I8">
        <v>28</v>
      </c>
      <c r="J8" s="3">
        <f t="shared" si="0"/>
        <v>45658.583333333336</v>
      </c>
      <c r="K8" t="str">
        <f>TEXT(tblSales[[#This Row],[Date]],"ddd")</f>
        <v>Wed</v>
      </c>
      <c r="L8" s="4">
        <f t="shared" si="1"/>
        <v>14</v>
      </c>
    </row>
    <row r="9" spans="1:12" x14ac:dyDescent="0.45">
      <c r="A9" s="1">
        <v>45658</v>
      </c>
      <c r="B9" s="2">
        <v>0.58333333333333337</v>
      </c>
      <c r="C9" t="s">
        <v>22</v>
      </c>
      <c r="D9" t="s">
        <v>16</v>
      </c>
      <c r="E9">
        <v>2</v>
      </c>
      <c r="F9">
        <v>16</v>
      </c>
      <c r="G9" t="s">
        <v>14</v>
      </c>
      <c r="H9" t="s">
        <v>19</v>
      </c>
      <c r="I9">
        <v>32</v>
      </c>
      <c r="J9" s="3">
        <f t="shared" si="0"/>
        <v>45658.583333333336</v>
      </c>
      <c r="K9" t="str">
        <f>TEXT(tblSales[[#This Row],[Date]],"ddd")</f>
        <v>Wed</v>
      </c>
      <c r="L9" s="4">
        <f t="shared" si="1"/>
        <v>14</v>
      </c>
    </row>
    <row r="10" spans="1:12" x14ac:dyDescent="0.45">
      <c r="A10" s="1">
        <v>45658</v>
      </c>
      <c r="B10" s="2">
        <v>0.66666666666666663</v>
      </c>
      <c r="C10" t="s">
        <v>22</v>
      </c>
      <c r="D10" t="s">
        <v>16</v>
      </c>
      <c r="E10">
        <v>1</v>
      </c>
      <c r="F10">
        <v>16</v>
      </c>
      <c r="G10" t="s">
        <v>11</v>
      </c>
      <c r="H10" t="s">
        <v>12</v>
      </c>
      <c r="I10">
        <v>16</v>
      </c>
      <c r="J10" s="3">
        <f t="shared" si="0"/>
        <v>45658.666666666664</v>
      </c>
      <c r="K10" t="str">
        <f>TEXT(tblSales[[#This Row],[Date]],"ddd")</f>
        <v>Wed</v>
      </c>
      <c r="L10" s="4">
        <f t="shared" si="1"/>
        <v>16</v>
      </c>
    </row>
    <row r="11" spans="1:12" x14ac:dyDescent="0.45">
      <c r="A11" s="1">
        <v>45658</v>
      </c>
      <c r="B11" s="2">
        <v>0.70833333333333337</v>
      </c>
      <c r="C11" t="s">
        <v>21</v>
      </c>
      <c r="D11" t="s">
        <v>16</v>
      </c>
      <c r="E11">
        <v>2</v>
      </c>
      <c r="F11">
        <v>15</v>
      </c>
      <c r="G11" t="s">
        <v>11</v>
      </c>
      <c r="H11" t="s">
        <v>12</v>
      </c>
      <c r="I11">
        <v>30</v>
      </c>
      <c r="J11" s="3">
        <f t="shared" si="0"/>
        <v>45658.708333333336</v>
      </c>
      <c r="K11" t="str">
        <f>TEXT(tblSales[[#This Row],[Date]],"ddd")</f>
        <v>Wed</v>
      </c>
      <c r="L11" s="4">
        <f t="shared" si="1"/>
        <v>17</v>
      </c>
    </row>
    <row r="12" spans="1:12" x14ac:dyDescent="0.45">
      <c r="A12" s="1">
        <v>45658</v>
      </c>
      <c r="B12" s="2">
        <v>0.79166666666666663</v>
      </c>
      <c r="C12" t="s">
        <v>22</v>
      </c>
      <c r="D12" t="s">
        <v>16</v>
      </c>
      <c r="E12">
        <v>1</v>
      </c>
      <c r="F12">
        <v>16</v>
      </c>
      <c r="G12" t="s">
        <v>23</v>
      </c>
      <c r="H12" t="s">
        <v>19</v>
      </c>
      <c r="I12">
        <v>16</v>
      </c>
      <c r="J12" s="3">
        <f t="shared" si="0"/>
        <v>45658.791666666664</v>
      </c>
      <c r="K12" t="str">
        <f>TEXT(tblSales[[#This Row],[Date]],"ddd")</f>
        <v>Wed</v>
      </c>
      <c r="L12" s="4">
        <f t="shared" si="1"/>
        <v>19</v>
      </c>
    </row>
    <row r="13" spans="1:12" x14ac:dyDescent="0.45">
      <c r="A13" s="1">
        <v>45658</v>
      </c>
      <c r="B13" s="2">
        <v>0.83333333333333337</v>
      </c>
      <c r="C13" t="s">
        <v>22</v>
      </c>
      <c r="D13" t="s">
        <v>16</v>
      </c>
      <c r="E13">
        <v>2</v>
      </c>
      <c r="F13">
        <v>16</v>
      </c>
      <c r="G13" t="s">
        <v>14</v>
      </c>
      <c r="H13" t="s">
        <v>12</v>
      </c>
      <c r="I13">
        <v>32</v>
      </c>
      <c r="J13" s="3">
        <f t="shared" si="0"/>
        <v>45658.833333333336</v>
      </c>
      <c r="K13" t="str">
        <f>TEXT(tblSales[[#This Row],[Date]],"ddd")</f>
        <v>Wed</v>
      </c>
      <c r="L13" s="4">
        <f t="shared" si="1"/>
        <v>20</v>
      </c>
    </row>
    <row r="14" spans="1:12" x14ac:dyDescent="0.45">
      <c r="A14" s="1">
        <v>45658</v>
      </c>
      <c r="B14" s="2">
        <v>0.83333333333333337</v>
      </c>
      <c r="C14" t="s">
        <v>9</v>
      </c>
      <c r="D14" t="s">
        <v>10</v>
      </c>
      <c r="E14">
        <v>3</v>
      </c>
      <c r="F14">
        <v>6</v>
      </c>
      <c r="G14" t="s">
        <v>14</v>
      </c>
      <c r="H14" t="s">
        <v>12</v>
      </c>
      <c r="I14">
        <v>18</v>
      </c>
      <c r="J14" s="3">
        <f t="shared" si="0"/>
        <v>45658.833333333336</v>
      </c>
      <c r="K14" t="str">
        <f>TEXT(tblSales[[#This Row],[Date]],"ddd")</f>
        <v>Wed</v>
      </c>
      <c r="L14" s="4">
        <f t="shared" si="1"/>
        <v>20</v>
      </c>
    </row>
    <row r="15" spans="1:12" x14ac:dyDescent="0.45">
      <c r="A15" s="1">
        <v>45658</v>
      </c>
      <c r="B15" s="2">
        <v>0.875</v>
      </c>
      <c r="C15" t="s">
        <v>22</v>
      </c>
      <c r="D15" t="s">
        <v>16</v>
      </c>
      <c r="E15">
        <v>3</v>
      </c>
      <c r="F15">
        <v>16</v>
      </c>
      <c r="G15" t="s">
        <v>11</v>
      </c>
      <c r="H15" t="s">
        <v>17</v>
      </c>
      <c r="I15">
        <v>48</v>
      </c>
      <c r="J15" s="3">
        <f t="shared" si="0"/>
        <v>45658.875</v>
      </c>
      <c r="K15" t="str">
        <f>TEXT(tblSales[[#This Row],[Date]],"ddd")</f>
        <v>Wed</v>
      </c>
      <c r="L15" s="4">
        <f t="shared" si="1"/>
        <v>21</v>
      </c>
    </row>
    <row r="16" spans="1:12" x14ac:dyDescent="0.45">
      <c r="A16" s="1">
        <v>45658</v>
      </c>
      <c r="B16" s="2">
        <v>0.875</v>
      </c>
      <c r="C16" t="s">
        <v>24</v>
      </c>
      <c r="D16" t="s">
        <v>16</v>
      </c>
      <c r="E16">
        <v>1</v>
      </c>
      <c r="F16">
        <v>12</v>
      </c>
      <c r="G16" t="s">
        <v>14</v>
      </c>
      <c r="H16" t="s">
        <v>12</v>
      </c>
      <c r="I16">
        <v>12</v>
      </c>
      <c r="J16" s="3">
        <f t="shared" si="0"/>
        <v>45658.875</v>
      </c>
      <c r="K16" t="str">
        <f>TEXT(tblSales[[#This Row],[Date]],"ddd")</f>
        <v>Wed</v>
      </c>
      <c r="L16" s="4">
        <f t="shared" si="1"/>
        <v>21</v>
      </c>
    </row>
    <row r="17" spans="1:12" x14ac:dyDescent="0.45">
      <c r="A17" s="1">
        <v>45659</v>
      </c>
      <c r="B17" s="2">
        <v>8.3333333333333329E-2</v>
      </c>
      <c r="C17" t="s">
        <v>22</v>
      </c>
      <c r="D17" t="s">
        <v>16</v>
      </c>
      <c r="E17">
        <v>3</v>
      </c>
      <c r="F17">
        <v>16</v>
      </c>
      <c r="G17" t="s">
        <v>14</v>
      </c>
      <c r="H17" t="s">
        <v>19</v>
      </c>
      <c r="I17">
        <v>48</v>
      </c>
      <c r="J17" s="3">
        <f t="shared" si="0"/>
        <v>45659.083333333336</v>
      </c>
      <c r="K17" t="str">
        <f>TEXT(tblSales[[#This Row],[Date]],"ddd")</f>
        <v>Thu</v>
      </c>
      <c r="L17" s="4">
        <f t="shared" si="1"/>
        <v>2</v>
      </c>
    </row>
    <row r="18" spans="1:12" x14ac:dyDescent="0.45">
      <c r="A18" s="1">
        <v>45659</v>
      </c>
      <c r="B18" s="2">
        <v>0.125</v>
      </c>
      <c r="C18" t="s">
        <v>22</v>
      </c>
      <c r="D18" t="s">
        <v>16</v>
      </c>
      <c r="E18">
        <v>3</v>
      </c>
      <c r="F18">
        <v>16</v>
      </c>
      <c r="G18" t="s">
        <v>11</v>
      </c>
      <c r="H18" t="s">
        <v>17</v>
      </c>
      <c r="I18">
        <v>48</v>
      </c>
      <c r="J18" s="3">
        <f t="shared" si="0"/>
        <v>45659.125</v>
      </c>
      <c r="K18" t="str">
        <f>TEXT(tblSales[[#This Row],[Date]],"ddd")</f>
        <v>Thu</v>
      </c>
      <c r="L18" s="4">
        <f t="shared" si="1"/>
        <v>3</v>
      </c>
    </row>
    <row r="19" spans="1:12" x14ac:dyDescent="0.45">
      <c r="A19" s="1">
        <v>45659</v>
      </c>
      <c r="B19" s="2">
        <v>0.125</v>
      </c>
      <c r="C19" t="s">
        <v>24</v>
      </c>
      <c r="D19" t="s">
        <v>16</v>
      </c>
      <c r="E19">
        <v>2</v>
      </c>
      <c r="F19">
        <v>12</v>
      </c>
      <c r="G19" t="s">
        <v>11</v>
      </c>
      <c r="H19" t="s">
        <v>12</v>
      </c>
      <c r="I19">
        <v>24</v>
      </c>
      <c r="J19" s="3">
        <f t="shared" si="0"/>
        <v>45659.125</v>
      </c>
      <c r="K19" t="str">
        <f>TEXT(tblSales[[#This Row],[Date]],"ddd")</f>
        <v>Thu</v>
      </c>
      <c r="L19" s="4">
        <f t="shared" si="1"/>
        <v>3</v>
      </c>
    </row>
    <row r="20" spans="1:12" x14ac:dyDescent="0.45">
      <c r="A20" s="1">
        <v>45659</v>
      </c>
      <c r="B20" s="2">
        <v>0.33333333333333331</v>
      </c>
      <c r="C20" t="s">
        <v>20</v>
      </c>
      <c r="D20" t="s">
        <v>16</v>
      </c>
      <c r="E20">
        <v>2</v>
      </c>
      <c r="F20">
        <v>14</v>
      </c>
      <c r="G20" t="s">
        <v>14</v>
      </c>
      <c r="H20" t="s">
        <v>19</v>
      </c>
      <c r="I20">
        <v>28</v>
      </c>
      <c r="J20" s="3">
        <f t="shared" si="0"/>
        <v>45659.333333333336</v>
      </c>
      <c r="K20" t="str">
        <f>TEXT(tblSales[[#This Row],[Date]],"ddd")</f>
        <v>Thu</v>
      </c>
      <c r="L20" s="4">
        <f t="shared" si="1"/>
        <v>8</v>
      </c>
    </row>
    <row r="21" spans="1:12" x14ac:dyDescent="0.45">
      <c r="A21" s="1">
        <v>45659</v>
      </c>
      <c r="B21" s="2">
        <v>0.33333333333333331</v>
      </c>
      <c r="C21" t="s">
        <v>24</v>
      </c>
      <c r="D21" t="s">
        <v>16</v>
      </c>
      <c r="E21">
        <v>3</v>
      </c>
      <c r="F21">
        <v>12</v>
      </c>
      <c r="G21" t="s">
        <v>23</v>
      </c>
      <c r="H21" t="s">
        <v>17</v>
      </c>
      <c r="I21">
        <v>36</v>
      </c>
      <c r="J21" s="3">
        <f t="shared" si="0"/>
        <v>45659.333333333336</v>
      </c>
      <c r="K21" t="str">
        <f>TEXT(tblSales[[#This Row],[Date]],"ddd")</f>
        <v>Thu</v>
      </c>
      <c r="L21" s="4">
        <f t="shared" si="1"/>
        <v>8</v>
      </c>
    </row>
    <row r="22" spans="1:12" x14ac:dyDescent="0.45">
      <c r="A22" s="1">
        <v>45659</v>
      </c>
      <c r="B22" s="2">
        <v>0.41666666666666669</v>
      </c>
      <c r="C22" t="s">
        <v>24</v>
      </c>
      <c r="D22" t="s">
        <v>16</v>
      </c>
      <c r="E22">
        <v>2</v>
      </c>
      <c r="F22">
        <v>12</v>
      </c>
      <c r="G22" t="s">
        <v>14</v>
      </c>
      <c r="H22" t="s">
        <v>12</v>
      </c>
      <c r="I22">
        <v>24</v>
      </c>
      <c r="J22" s="3">
        <f t="shared" si="0"/>
        <v>45659.416666666664</v>
      </c>
      <c r="K22" t="str">
        <f>TEXT(tblSales[[#This Row],[Date]],"ddd")</f>
        <v>Thu</v>
      </c>
      <c r="L22" s="4">
        <f t="shared" si="1"/>
        <v>10</v>
      </c>
    </row>
    <row r="23" spans="1:12" x14ac:dyDescent="0.45">
      <c r="A23" s="1">
        <v>45659</v>
      </c>
      <c r="B23" s="2">
        <v>0.45833333333333331</v>
      </c>
      <c r="C23" t="s">
        <v>20</v>
      </c>
      <c r="D23" t="s">
        <v>16</v>
      </c>
      <c r="E23">
        <v>3</v>
      </c>
      <c r="F23">
        <v>14</v>
      </c>
      <c r="G23" t="s">
        <v>23</v>
      </c>
      <c r="H23" t="s">
        <v>12</v>
      </c>
      <c r="I23">
        <v>42</v>
      </c>
      <c r="J23" s="3">
        <f t="shared" si="0"/>
        <v>45659.458333333336</v>
      </c>
      <c r="K23" t="str">
        <f>TEXT(tblSales[[#This Row],[Date]],"ddd")</f>
        <v>Thu</v>
      </c>
      <c r="L23" s="4">
        <f t="shared" si="1"/>
        <v>11</v>
      </c>
    </row>
    <row r="24" spans="1:12" x14ac:dyDescent="0.45">
      <c r="A24" s="1">
        <v>45659</v>
      </c>
      <c r="B24" s="2">
        <v>0.45833333333333331</v>
      </c>
      <c r="C24" t="s">
        <v>15</v>
      </c>
      <c r="D24" t="s">
        <v>16</v>
      </c>
      <c r="E24">
        <v>2</v>
      </c>
      <c r="F24">
        <v>10</v>
      </c>
      <c r="G24" t="s">
        <v>11</v>
      </c>
      <c r="H24" t="s">
        <v>12</v>
      </c>
      <c r="I24">
        <v>20</v>
      </c>
      <c r="J24" s="3">
        <f t="shared" si="0"/>
        <v>45659.458333333336</v>
      </c>
      <c r="K24" t="str">
        <f>TEXT(tblSales[[#This Row],[Date]],"ddd")</f>
        <v>Thu</v>
      </c>
      <c r="L24" s="4">
        <f t="shared" si="1"/>
        <v>11</v>
      </c>
    </row>
    <row r="25" spans="1:12" x14ac:dyDescent="0.45">
      <c r="A25" s="1">
        <v>45659</v>
      </c>
      <c r="B25" s="2">
        <v>0.5</v>
      </c>
      <c r="C25" t="s">
        <v>21</v>
      </c>
      <c r="D25" t="s">
        <v>16</v>
      </c>
      <c r="E25">
        <v>1</v>
      </c>
      <c r="F25">
        <v>15</v>
      </c>
      <c r="G25" t="s">
        <v>11</v>
      </c>
      <c r="H25" t="s">
        <v>19</v>
      </c>
      <c r="I25">
        <v>15</v>
      </c>
      <c r="J25" s="3">
        <f t="shared" si="0"/>
        <v>45659.5</v>
      </c>
      <c r="K25" t="str">
        <f>TEXT(tblSales[[#This Row],[Date]],"ddd")</f>
        <v>Thu</v>
      </c>
      <c r="L25" s="4">
        <f t="shared" si="1"/>
        <v>12</v>
      </c>
    </row>
    <row r="26" spans="1:12" x14ac:dyDescent="0.45">
      <c r="A26" s="1">
        <v>45659</v>
      </c>
      <c r="B26" s="2">
        <v>0.5</v>
      </c>
      <c r="C26" t="s">
        <v>15</v>
      </c>
      <c r="D26" t="s">
        <v>16</v>
      </c>
      <c r="E26">
        <v>2</v>
      </c>
      <c r="F26">
        <v>10</v>
      </c>
      <c r="G26" t="s">
        <v>14</v>
      </c>
      <c r="H26" t="s">
        <v>17</v>
      </c>
      <c r="I26">
        <v>20</v>
      </c>
      <c r="J26" s="3">
        <f t="shared" si="0"/>
        <v>45659.5</v>
      </c>
      <c r="K26" t="str">
        <f>TEXT(tblSales[[#This Row],[Date]],"ddd")</f>
        <v>Thu</v>
      </c>
      <c r="L26" s="4">
        <f t="shared" si="1"/>
        <v>12</v>
      </c>
    </row>
    <row r="27" spans="1:12" x14ac:dyDescent="0.45">
      <c r="A27" s="1">
        <v>45659</v>
      </c>
      <c r="B27" s="2">
        <v>0.54166666666666663</v>
      </c>
      <c r="C27" t="s">
        <v>9</v>
      </c>
      <c r="D27" t="s">
        <v>10</v>
      </c>
      <c r="E27">
        <v>2</v>
      </c>
      <c r="F27">
        <v>6</v>
      </c>
      <c r="G27" t="s">
        <v>14</v>
      </c>
      <c r="H27" t="s">
        <v>12</v>
      </c>
      <c r="I27">
        <v>12</v>
      </c>
      <c r="J27" s="3">
        <f t="shared" si="0"/>
        <v>45659.541666666664</v>
      </c>
      <c r="K27" t="str">
        <f>TEXT(tblSales[[#This Row],[Date]],"ddd")</f>
        <v>Thu</v>
      </c>
      <c r="L27" s="4">
        <f t="shared" si="1"/>
        <v>13</v>
      </c>
    </row>
    <row r="28" spans="1:12" x14ac:dyDescent="0.45">
      <c r="A28" s="1">
        <v>45659</v>
      </c>
      <c r="B28" s="2">
        <v>0.58333333333333337</v>
      </c>
      <c r="C28" t="s">
        <v>24</v>
      </c>
      <c r="D28" t="s">
        <v>16</v>
      </c>
      <c r="E28">
        <v>2</v>
      </c>
      <c r="F28">
        <v>12</v>
      </c>
      <c r="G28" t="s">
        <v>14</v>
      </c>
      <c r="H28" t="s">
        <v>19</v>
      </c>
      <c r="I28">
        <v>24</v>
      </c>
      <c r="J28" s="3">
        <f t="shared" si="0"/>
        <v>45659.583333333336</v>
      </c>
      <c r="K28" t="str">
        <f>TEXT(tblSales[[#This Row],[Date]],"ddd")</f>
        <v>Thu</v>
      </c>
      <c r="L28" s="4">
        <f t="shared" si="1"/>
        <v>14</v>
      </c>
    </row>
    <row r="29" spans="1:12" x14ac:dyDescent="0.45">
      <c r="A29" s="1">
        <v>45659</v>
      </c>
      <c r="B29" s="2">
        <v>0.66666666666666663</v>
      </c>
      <c r="C29" t="s">
        <v>25</v>
      </c>
      <c r="D29" t="s">
        <v>10</v>
      </c>
      <c r="E29">
        <v>1</v>
      </c>
      <c r="F29">
        <v>18</v>
      </c>
      <c r="G29" t="s">
        <v>14</v>
      </c>
      <c r="H29" t="s">
        <v>12</v>
      </c>
      <c r="I29">
        <v>18</v>
      </c>
      <c r="J29" s="3">
        <f t="shared" si="0"/>
        <v>45659.666666666664</v>
      </c>
      <c r="K29" t="str">
        <f>TEXT(tblSales[[#This Row],[Date]],"ddd")</f>
        <v>Thu</v>
      </c>
      <c r="L29" s="4">
        <f t="shared" si="1"/>
        <v>16</v>
      </c>
    </row>
    <row r="30" spans="1:12" x14ac:dyDescent="0.45">
      <c r="A30" s="1">
        <v>45659</v>
      </c>
      <c r="B30" s="2">
        <v>0.66666666666666663</v>
      </c>
      <c r="C30" t="s">
        <v>9</v>
      </c>
      <c r="D30" t="s">
        <v>10</v>
      </c>
      <c r="E30">
        <v>1</v>
      </c>
      <c r="F30">
        <v>6</v>
      </c>
      <c r="G30" t="s">
        <v>14</v>
      </c>
      <c r="H30" t="s">
        <v>17</v>
      </c>
      <c r="I30">
        <v>6</v>
      </c>
      <c r="J30" s="3">
        <f t="shared" si="0"/>
        <v>45659.666666666664</v>
      </c>
      <c r="K30" t="str">
        <f>TEXT(tblSales[[#This Row],[Date]],"ddd")</f>
        <v>Thu</v>
      </c>
      <c r="L30" s="4">
        <f t="shared" si="1"/>
        <v>16</v>
      </c>
    </row>
    <row r="31" spans="1:12" x14ac:dyDescent="0.45">
      <c r="A31" s="1">
        <v>45659</v>
      </c>
      <c r="B31" s="2">
        <v>0.875</v>
      </c>
      <c r="C31" t="s">
        <v>15</v>
      </c>
      <c r="D31" t="s">
        <v>16</v>
      </c>
      <c r="E31">
        <v>3</v>
      </c>
      <c r="F31">
        <v>10</v>
      </c>
      <c r="G31" t="s">
        <v>14</v>
      </c>
      <c r="H31" t="s">
        <v>12</v>
      </c>
      <c r="I31">
        <v>30</v>
      </c>
      <c r="J31" s="3">
        <f t="shared" si="0"/>
        <v>45659.875</v>
      </c>
      <c r="K31" t="str">
        <f>TEXT(tblSales[[#This Row],[Date]],"ddd")</f>
        <v>Thu</v>
      </c>
      <c r="L31" s="4">
        <f t="shared" si="1"/>
        <v>21</v>
      </c>
    </row>
    <row r="32" spans="1:12" x14ac:dyDescent="0.45">
      <c r="A32" s="1">
        <v>45659</v>
      </c>
      <c r="B32" s="2">
        <v>0.95833333333333337</v>
      </c>
      <c r="C32" t="s">
        <v>18</v>
      </c>
      <c r="D32" t="s">
        <v>10</v>
      </c>
      <c r="E32">
        <v>3</v>
      </c>
      <c r="F32">
        <v>8</v>
      </c>
      <c r="G32" t="s">
        <v>23</v>
      </c>
      <c r="H32" t="s">
        <v>17</v>
      </c>
      <c r="I32">
        <v>24</v>
      </c>
      <c r="J32" s="3">
        <f t="shared" si="0"/>
        <v>45659.958333333336</v>
      </c>
      <c r="K32" t="str">
        <f>TEXT(tblSales[[#This Row],[Date]],"ddd")</f>
        <v>Thu</v>
      </c>
      <c r="L32" s="4">
        <f t="shared" si="1"/>
        <v>23</v>
      </c>
    </row>
    <row r="33" spans="1:12" x14ac:dyDescent="0.45">
      <c r="A33" s="1">
        <v>45660</v>
      </c>
      <c r="B33" s="2">
        <v>0</v>
      </c>
      <c r="C33" t="s">
        <v>15</v>
      </c>
      <c r="D33" t="s">
        <v>16</v>
      </c>
      <c r="E33">
        <v>3</v>
      </c>
      <c r="F33">
        <v>10</v>
      </c>
      <c r="G33" t="s">
        <v>14</v>
      </c>
      <c r="H33" t="s">
        <v>19</v>
      </c>
      <c r="I33">
        <v>30</v>
      </c>
      <c r="J33" s="3">
        <f t="shared" si="0"/>
        <v>45660</v>
      </c>
      <c r="K33" t="str">
        <f>TEXT(tblSales[[#This Row],[Date]],"ddd")</f>
        <v>Fri</v>
      </c>
      <c r="L33" s="4">
        <f t="shared" si="1"/>
        <v>0</v>
      </c>
    </row>
    <row r="34" spans="1:12" x14ac:dyDescent="0.45">
      <c r="A34" s="1">
        <v>45660</v>
      </c>
      <c r="B34" s="2">
        <v>8.3333333333333329E-2</v>
      </c>
      <c r="C34" t="s">
        <v>26</v>
      </c>
      <c r="D34" t="s">
        <v>10</v>
      </c>
      <c r="E34">
        <v>2</v>
      </c>
      <c r="F34">
        <v>17</v>
      </c>
      <c r="G34" t="s">
        <v>23</v>
      </c>
      <c r="H34" t="s">
        <v>19</v>
      </c>
      <c r="I34">
        <v>34</v>
      </c>
      <c r="J34" s="3">
        <f t="shared" si="0"/>
        <v>45660.083333333336</v>
      </c>
      <c r="K34" t="str">
        <f>TEXT(tblSales[[#This Row],[Date]],"ddd")</f>
        <v>Fri</v>
      </c>
      <c r="L34" s="4">
        <f t="shared" si="1"/>
        <v>2</v>
      </c>
    </row>
    <row r="35" spans="1:12" x14ac:dyDescent="0.45">
      <c r="A35" s="1">
        <v>45660</v>
      </c>
      <c r="B35" s="2">
        <v>0.16666666666666666</v>
      </c>
      <c r="C35" t="s">
        <v>26</v>
      </c>
      <c r="D35" t="s">
        <v>10</v>
      </c>
      <c r="E35">
        <v>2</v>
      </c>
      <c r="F35">
        <v>17</v>
      </c>
      <c r="G35" t="s">
        <v>11</v>
      </c>
      <c r="H35" t="s">
        <v>12</v>
      </c>
      <c r="I35">
        <v>34</v>
      </c>
      <c r="J35" s="3">
        <f t="shared" si="0"/>
        <v>45660.166666666664</v>
      </c>
      <c r="K35" t="str">
        <f>TEXT(tblSales[[#This Row],[Date]],"ddd")</f>
        <v>Fri</v>
      </c>
      <c r="L35" s="4">
        <f t="shared" si="1"/>
        <v>4</v>
      </c>
    </row>
    <row r="36" spans="1:12" x14ac:dyDescent="0.45">
      <c r="A36" s="1">
        <v>45660</v>
      </c>
      <c r="B36" s="2">
        <v>0.16666666666666666</v>
      </c>
      <c r="C36" t="s">
        <v>24</v>
      </c>
      <c r="D36" t="s">
        <v>16</v>
      </c>
      <c r="E36">
        <v>1</v>
      </c>
      <c r="F36">
        <v>12</v>
      </c>
      <c r="G36" t="s">
        <v>23</v>
      </c>
      <c r="H36" t="s">
        <v>12</v>
      </c>
      <c r="I36">
        <v>12</v>
      </c>
      <c r="J36" s="3">
        <f t="shared" si="0"/>
        <v>45660.166666666664</v>
      </c>
      <c r="K36" t="str">
        <f>TEXT(tblSales[[#This Row],[Date]],"ddd")</f>
        <v>Fri</v>
      </c>
      <c r="L36" s="4">
        <f t="shared" si="1"/>
        <v>4</v>
      </c>
    </row>
    <row r="37" spans="1:12" x14ac:dyDescent="0.45">
      <c r="A37" s="1">
        <v>45660</v>
      </c>
      <c r="B37" s="2">
        <v>0.20833333333333334</v>
      </c>
      <c r="C37" t="s">
        <v>18</v>
      </c>
      <c r="D37" t="s">
        <v>10</v>
      </c>
      <c r="E37">
        <v>2</v>
      </c>
      <c r="F37">
        <v>8</v>
      </c>
      <c r="G37" t="s">
        <v>14</v>
      </c>
      <c r="H37" t="s">
        <v>19</v>
      </c>
      <c r="I37">
        <v>16</v>
      </c>
      <c r="J37" s="3">
        <f t="shared" si="0"/>
        <v>45660.208333333336</v>
      </c>
      <c r="K37" t="str">
        <f>TEXT(tblSales[[#This Row],[Date]],"ddd")</f>
        <v>Fri</v>
      </c>
      <c r="L37" s="4">
        <f t="shared" si="1"/>
        <v>5</v>
      </c>
    </row>
    <row r="38" spans="1:12" x14ac:dyDescent="0.45">
      <c r="A38" s="1">
        <v>45660</v>
      </c>
      <c r="B38" s="2">
        <v>0.41666666666666669</v>
      </c>
      <c r="C38" t="s">
        <v>9</v>
      </c>
      <c r="D38" t="s">
        <v>10</v>
      </c>
      <c r="E38">
        <v>3</v>
      </c>
      <c r="F38">
        <v>6</v>
      </c>
      <c r="G38" t="s">
        <v>11</v>
      </c>
      <c r="H38" t="s">
        <v>12</v>
      </c>
      <c r="I38">
        <v>18</v>
      </c>
      <c r="J38" s="3">
        <f t="shared" si="0"/>
        <v>45660.416666666664</v>
      </c>
      <c r="K38" t="str">
        <f>TEXT(tblSales[[#This Row],[Date]],"ddd")</f>
        <v>Fri</v>
      </c>
      <c r="L38" s="4">
        <f t="shared" si="1"/>
        <v>10</v>
      </c>
    </row>
    <row r="39" spans="1:12" x14ac:dyDescent="0.45">
      <c r="A39" s="1">
        <v>45660</v>
      </c>
      <c r="B39" s="2">
        <v>0.58333333333333337</v>
      </c>
      <c r="C39" t="s">
        <v>26</v>
      </c>
      <c r="D39" t="s">
        <v>10</v>
      </c>
      <c r="E39">
        <v>3</v>
      </c>
      <c r="F39">
        <v>17</v>
      </c>
      <c r="G39" t="s">
        <v>11</v>
      </c>
      <c r="H39" t="s">
        <v>17</v>
      </c>
      <c r="I39">
        <v>51</v>
      </c>
      <c r="J39" s="3">
        <f t="shared" si="0"/>
        <v>45660.583333333336</v>
      </c>
      <c r="K39" t="str">
        <f>TEXT(tblSales[[#This Row],[Date]],"ddd")</f>
        <v>Fri</v>
      </c>
      <c r="L39" s="4">
        <f t="shared" si="1"/>
        <v>14</v>
      </c>
    </row>
    <row r="40" spans="1:12" x14ac:dyDescent="0.45">
      <c r="A40" s="1">
        <v>45660</v>
      </c>
      <c r="B40" s="2">
        <v>0.66666666666666663</v>
      </c>
      <c r="C40" t="s">
        <v>26</v>
      </c>
      <c r="D40" t="s">
        <v>10</v>
      </c>
      <c r="E40">
        <v>3</v>
      </c>
      <c r="F40">
        <v>17</v>
      </c>
      <c r="G40" t="s">
        <v>11</v>
      </c>
      <c r="H40" t="s">
        <v>19</v>
      </c>
      <c r="I40">
        <v>51</v>
      </c>
      <c r="J40" s="3">
        <f t="shared" si="0"/>
        <v>45660.666666666664</v>
      </c>
      <c r="K40" t="str">
        <f>TEXT(tblSales[[#This Row],[Date]],"ddd")</f>
        <v>Fri</v>
      </c>
      <c r="L40" s="4">
        <f t="shared" si="1"/>
        <v>16</v>
      </c>
    </row>
    <row r="41" spans="1:12" x14ac:dyDescent="0.45">
      <c r="A41" s="1">
        <v>45660</v>
      </c>
      <c r="B41" s="2">
        <v>0.95833333333333337</v>
      </c>
      <c r="C41" t="s">
        <v>18</v>
      </c>
      <c r="D41" t="s">
        <v>10</v>
      </c>
      <c r="E41">
        <v>2</v>
      </c>
      <c r="F41">
        <v>8</v>
      </c>
      <c r="G41" t="s">
        <v>14</v>
      </c>
      <c r="H41" t="s">
        <v>19</v>
      </c>
      <c r="I41">
        <v>16</v>
      </c>
      <c r="J41" s="3">
        <f t="shared" si="0"/>
        <v>45660.958333333336</v>
      </c>
      <c r="K41" t="str">
        <f>TEXT(tblSales[[#This Row],[Date]],"ddd")</f>
        <v>Fri</v>
      </c>
      <c r="L41" s="4">
        <f t="shared" si="1"/>
        <v>23</v>
      </c>
    </row>
    <row r="42" spans="1:12" x14ac:dyDescent="0.45">
      <c r="A42" s="1">
        <v>45661</v>
      </c>
      <c r="B42" s="2">
        <v>0.33333333333333331</v>
      </c>
      <c r="C42" t="s">
        <v>18</v>
      </c>
      <c r="D42" t="s">
        <v>10</v>
      </c>
      <c r="E42">
        <v>1</v>
      </c>
      <c r="F42">
        <v>8</v>
      </c>
      <c r="G42" t="s">
        <v>14</v>
      </c>
      <c r="H42" t="s">
        <v>12</v>
      </c>
      <c r="I42">
        <v>8</v>
      </c>
      <c r="J42" s="3">
        <f t="shared" si="0"/>
        <v>45661.333333333336</v>
      </c>
      <c r="K42" t="str">
        <f>TEXT(tblSales[[#This Row],[Date]],"ddd")</f>
        <v>Sat</v>
      </c>
      <c r="L42" s="4">
        <f t="shared" si="1"/>
        <v>8</v>
      </c>
    </row>
    <row r="43" spans="1:12" x14ac:dyDescent="0.45">
      <c r="A43" s="1">
        <v>45661</v>
      </c>
      <c r="B43" s="2">
        <v>0.33333333333333331</v>
      </c>
      <c r="C43" t="s">
        <v>26</v>
      </c>
      <c r="D43" t="s">
        <v>10</v>
      </c>
      <c r="E43">
        <v>2</v>
      </c>
      <c r="F43">
        <v>17</v>
      </c>
      <c r="G43" t="s">
        <v>14</v>
      </c>
      <c r="H43" t="s">
        <v>17</v>
      </c>
      <c r="I43">
        <v>34</v>
      </c>
      <c r="J43" s="3">
        <f t="shared" si="0"/>
        <v>45661.333333333336</v>
      </c>
      <c r="K43" t="str">
        <f>TEXT(tblSales[[#This Row],[Date]],"ddd")</f>
        <v>Sat</v>
      </c>
      <c r="L43" s="4">
        <f t="shared" si="1"/>
        <v>8</v>
      </c>
    </row>
    <row r="44" spans="1:12" x14ac:dyDescent="0.45">
      <c r="A44" s="1">
        <v>45661</v>
      </c>
      <c r="B44" s="2">
        <v>0.54166666666666663</v>
      </c>
      <c r="C44" t="s">
        <v>13</v>
      </c>
      <c r="D44" t="s">
        <v>10</v>
      </c>
      <c r="E44">
        <v>3</v>
      </c>
      <c r="F44">
        <v>9</v>
      </c>
      <c r="G44" t="s">
        <v>14</v>
      </c>
      <c r="H44" t="s">
        <v>12</v>
      </c>
      <c r="I44">
        <v>27</v>
      </c>
      <c r="J44" s="3">
        <f t="shared" si="0"/>
        <v>45661.541666666664</v>
      </c>
      <c r="K44" t="str">
        <f>TEXT(tblSales[[#This Row],[Date]],"ddd")</f>
        <v>Sat</v>
      </c>
      <c r="L44" s="4">
        <f t="shared" si="1"/>
        <v>13</v>
      </c>
    </row>
    <row r="45" spans="1:12" x14ac:dyDescent="0.45">
      <c r="A45" s="1">
        <v>45661</v>
      </c>
      <c r="B45" s="2">
        <v>0.625</v>
      </c>
      <c r="C45" t="s">
        <v>26</v>
      </c>
      <c r="D45" t="s">
        <v>10</v>
      </c>
      <c r="E45">
        <v>2</v>
      </c>
      <c r="F45">
        <v>17</v>
      </c>
      <c r="G45" t="s">
        <v>14</v>
      </c>
      <c r="H45" t="s">
        <v>12</v>
      </c>
      <c r="I45">
        <v>34</v>
      </c>
      <c r="J45" s="3">
        <f t="shared" si="0"/>
        <v>45661.625</v>
      </c>
      <c r="K45" t="str">
        <f>TEXT(tblSales[[#This Row],[Date]],"ddd")</f>
        <v>Sat</v>
      </c>
      <c r="L45" s="4">
        <f t="shared" si="1"/>
        <v>15</v>
      </c>
    </row>
    <row r="46" spans="1:12" x14ac:dyDescent="0.45">
      <c r="A46" s="1">
        <v>45661</v>
      </c>
      <c r="B46" s="2">
        <v>0.79166666666666663</v>
      </c>
      <c r="C46" t="s">
        <v>22</v>
      </c>
      <c r="D46" t="s">
        <v>16</v>
      </c>
      <c r="E46">
        <v>2</v>
      </c>
      <c r="F46">
        <v>16</v>
      </c>
      <c r="G46" t="s">
        <v>23</v>
      </c>
      <c r="H46" t="s">
        <v>12</v>
      </c>
      <c r="I46">
        <v>32</v>
      </c>
      <c r="J46" s="3">
        <f t="shared" si="0"/>
        <v>45661.791666666664</v>
      </c>
      <c r="K46" t="str">
        <f>TEXT(tblSales[[#This Row],[Date]],"ddd")</f>
        <v>Sat</v>
      </c>
      <c r="L46" s="4">
        <f t="shared" si="1"/>
        <v>19</v>
      </c>
    </row>
    <row r="47" spans="1:12" x14ac:dyDescent="0.45">
      <c r="A47" s="1">
        <v>45661</v>
      </c>
      <c r="B47" s="2">
        <v>0.79166666666666663</v>
      </c>
      <c r="C47" t="s">
        <v>15</v>
      </c>
      <c r="D47" t="s">
        <v>16</v>
      </c>
      <c r="E47">
        <v>2</v>
      </c>
      <c r="F47">
        <v>10</v>
      </c>
      <c r="G47" t="s">
        <v>14</v>
      </c>
      <c r="H47" t="s">
        <v>17</v>
      </c>
      <c r="I47">
        <v>20</v>
      </c>
      <c r="J47" s="3">
        <f t="shared" si="0"/>
        <v>45661.791666666664</v>
      </c>
      <c r="K47" t="str">
        <f>TEXT(tblSales[[#This Row],[Date]],"ddd")</f>
        <v>Sat</v>
      </c>
      <c r="L47" s="4">
        <f t="shared" si="1"/>
        <v>19</v>
      </c>
    </row>
    <row r="48" spans="1:12" x14ac:dyDescent="0.45">
      <c r="A48" s="1">
        <v>45661</v>
      </c>
      <c r="B48" s="2">
        <v>0.95833333333333337</v>
      </c>
      <c r="C48" t="s">
        <v>26</v>
      </c>
      <c r="D48" t="s">
        <v>10</v>
      </c>
      <c r="E48">
        <v>1</v>
      </c>
      <c r="F48">
        <v>17</v>
      </c>
      <c r="G48" t="s">
        <v>14</v>
      </c>
      <c r="H48" t="s">
        <v>12</v>
      </c>
      <c r="I48">
        <v>17</v>
      </c>
      <c r="J48" s="3">
        <f t="shared" si="0"/>
        <v>45661.958333333336</v>
      </c>
      <c r="K48" t="str">
        <f>TEXT(tblSales[[#This Row],[Date]],"ddd")</f>
        <v>Sat</v>
      </c>
      <c r="L48" s="4">
        <f t="shared" si="1"/>
        <v>23</v>
      </c>
    </row>
    <row r="49" spans="1:12" x14ac:dyDescent="0.45">
      <c r="A49" s="1">
        <v>45662</v>
      </c>
      <c r="B49" s="2">
        <v>8.3333333333333329E-2</v>
      </c>
      <c r="C49" t="s">
        <v>20</v>
      </c>
      <c r="D49" t="s">
        <v>16</v>
      </c>
      <c r="E49">
        <v>1</v>
      </c>
      <c r="F49">
        <v>14</v>
      </c>
      <c r="G49" t="s">
        <v>14</v>
      </c>
      <c r="H49" t="s">
        <v>19</v>
      </c>
      <c r="I49">
        <v>14</v>
      </c>
      <c r="J49" s="3">
        <f t="shared" si="0"/>
        <v>45662.083333333336</v>
      </c>
      <c r="K49" t="str">
        <f>TEXT(tblSales[[#This Row],[Date]],"ddd")</f>
        <v>Sun</v>
      </c>
      <c r="L49" s="4">
        <f t="shared" si="1"/>
        <v>2</v>
      </c>
    </row>
    <row r="50" spans="1:12" x14ac:dyDescent="0.45">
      <c r="A50" s="1">
        <v>45662</v>
      </c>
      <c r="B50" s="2">
        <v>8.3333333333333329E-2</v>
      </c>
      <c r="C50" t="s">
        <v>9</v>
      </c>
      <c r="D50" t="s">
        <v>10</v>
      </c>
      <c r="E50">
        <v>2</v>
      </c>
      <c r="F50">
        <v>6</v>
      </c>
      <c r="G50" t="s">
        <v>14</v>
      </c>
      <c r="H50" t="s">
        <v>19</v>
      </c>
      <c r="I50">
        <v>12</v>
      </c>
      <c r="J50" s="3">
        <f t="shared" si="0"/>
        <v>45662.083333333336</v>
      </c>
      <c r="K50" t="str">
        <f>TEXT(tblSales[[#This Row],[Date]],"ddd")</f>
        <v>Sun</v>
      </c>
      <c r="L50" s="4">
        <f t="shared" si="1"/>
        <v>2</v>
      </c>
    </row>
    <row r="51" spans="1:12" x14ac:dyDescent="0.45">
      <c r="A51" s="1">
        <v>45662</v>
      </c>
      <c r="B51" s="2">
        <v>8.3333333333333329E-2</v>
      </c>
      <c r="C51" t="s">
        <v>21</v>
      </c>
      <c r="D51" t="s">
        <v>16</v>
      </c>
      <c r="E51">
        <v>2</v>
      </c>
      <c r="F51">
        <v>15</v>
      </c>
      <c r="G51" t="s">
        <v>11</v>
      </c>
      <c r="H51" t="s">
        <v>12</v>
      </c>
      <c r="I51">
        <v>30</v>
      </c>
      <c r="J51" s="3">
        <f t="shared" si="0"/>
        <v>45662.083333333336</v>
      </c>
      <c r="K51" t="str">
        <f>TEXT(tblSales[[#This Row],[Date]],"ddd")</f>
        <v>Sun</v>
      </c>
      <c r="L51" s="4">
        <f t="shared" si="1"/>
        <v>2</v>
      </c>
    </row>
    <row r="52" spans="1:12" x14ac:dyDescent="0.45">
      <c r="A52" s="1">
        <v>45662</v>
      </c>
      <c r="B52" s="2">
        <v>8.3333333333333329E-2</v>
      </c>
      <c r="C52" t="s">
        <v>26</v>
      </c>
      <c r="D52" t="s">
        <v>10</v>
      </c>
      <c r="E52">
        <v>3</v>
      </c>
      <c r="F52">
        <v>17</v>
      </c>
      <c r="G52" t="s">
        <v>14</v>
      </c>
      <c r="H52" t="s">
        <v>19</v>
      </c>
      <c r="I52">
        <v>51</v>
      </c>
      <c r="J52" s="3">
        <f t="shared" si="0"/>
        <v>45662.083333333336</v>
      </c>
      <c r="K52" t="str">
        <f>TEXT(tblSales[[#This Row],[Date]],"ddd")</f>
        <v>Sun</v>
      </c>
      <c r="L52" s="4">
        <f t="shared" si="1"/>
        <v>2</v>
      </c>
    </row>
    <row r="53" spans="1:12" x14ac:dyDescent="0.45">
      <c r="A53" s="1">
        <v>45662</v>
      </c>
      <c r="B53" s="2">
        <v>8.3333333333333329E-2</v>
      </c>
      <c r="C53" t="s">
        <v>26</v>
      </c>
      <c r="D53" t="s">
        <v>10</v>
      </c>
      <c r="E53">
        <v>3</v>
      </c>
      <c r="F53">
        <v>17</v>
      </c>
      <c r="G53" t="s">
        <v>14</v>
      </c>
      <c r="H53" t="s">
        <v>12</v>
      </c>
      <c r="I53">
        <v>51</v>
      </c>
      <c r="J53" s="3">
        <f t="shared" si="0"/>
        <v>45662.083333333336</v>
      </c>
      <c r="K53" t="str">
        <f>TEXT(tblSales[[#This Row],[Date]],"ddd")</f>
        <v>Sun</v>
      </c>
      <c r="L53" s="4">
        <f t="shared" si="1"/>
        <v>2</v>
      </c>
    </row>
    <row r="54" spans="1:12" x14ac:dyDescent="0.45">
      <c r="A54" s="1">
        <v>45662</v>
      </c>
      <c r="B54" s="2">
        <v>0.125</v>
      </c>
      <c r="C54" t="s">
        <v>15</v>
      </c>
      <c r="D54" t="s">
        <v>16</v>
      </c>
      <c r="E54">
        <v>2</v>
      </c>
      <c r="F54">
        <v>10</v>
      </c>
      <c r="G54" t="s">
        <v>14</v>
      </c>
      <c r="H54" t="s">
        <v>17</v>
      </c>
      <c r="I54">
        <v>20</v>
      </c>
      <c r="J54" s="3">
        <f t="shared" si="0"/>
        <v>45662.125</v>
      </c>
      <c r="K54" t="str">
        <f>TEXT(tblSales[[#This Row],[Date]],"ddd")</f>
        <v>Sun</v>
      </c>
      <c r="L54" s="4">
        <f t="shared" si="1"/>
        <v>3</v>
      </c>
    </row>
    <row r="55" spans="1:12" x14ac:dyDescent="0.45">
      <c r="A55" s="1">
        <v>45662</v>
      </c>
      <c r="B55" s="2">
        <v>0.25</v>
      </c>
      <c r="C55" t="s">
        <v>22</v>
      </c>
      <c r="D55" t="s">
        <v>16</v>
      </c>
      <c r="E55">
        <v>2</v>
      </c>
      <c r="F55">
        <v>16</v>
      </c>
      <c r="G55" t="s">
        <v>23</v>
      </c>
      <c r="H55" t="s">
        <v>17</v>
      </c>
      <c r="I55">
        <v>32</v>
      </c>
      <c r="J55" s="3">
        <f t="shared" si="0"/>
        <v>45662.25</v>
      </c>
      <c r="K55" t="str">
        <f>TEXT(tblSales[[#This Row],[Date]],"ddd")</f>
        <v>Sun</v>
      </c>
      <c r="L55" s="4">
        <f t="shared" si="1"/>
        <v>6</v>
      </c>
    </row>
    <row r="56" spans="1:12" x14ac:dyDescent="0.45">
      <c r="A56" s="1">
        <v>45662</v>
      </c>
      <c r="B56" s="2">
        <v>0.29166666666666669</v>
      </c>
      <c r="C56" t="s">
        <v>24</v>
      </c>
      <c r="D56" t="s">
        <v>16</v>
      </c>
      <c r="E56">
        <v>3</v>
      </c>
      <c r="F56">
        <v>12</v>
      </c>
      <c r="G56" t="s">
        <v>14</v>
      </c>
      <c r="H56" t="s">
        <v>12</v>
      </c>
      <c r="I56">
        <v>36</v>
      </c>
      <c r="J56" s="3">
        <f t="shared" si="0"/>
        <v>45662.291666666664</v>
      </c>
      <c r="K56" t="str">
        <f>TEXT(tblSales[[#This Row],[Date]],"ddd")</f>
        <v>Sun</v>
      </c>
      <c r="L56" s="4">
        <f t="shared" si="1"/>
        <v>7</v>
      </c>
    </row>
    <row r="57" spans="1:12" x14ac:dyDescent="0.45">
      <c r="A57" s="1">
        <v>45662</v>
      </c>
      <c r="B57" s="2">
        <v>0.29166666666666669</v>
      </c>
      <c r="C57" t="s">
        <v>26</v>
      </c>
      <c r="D57" t="s">
        <v>10</v>
      </c>
      <c r="E57">
        <v>1</v>
      </c>
      <c r="F57">
        <v>17</v>
      </c>
      <c r="G57" t="s">
        <v>14</v>
      </c>
      <c r="H57" t="s">
        <v>19</v>
      </c>
      <c r="I57">
        <v>17</v>
      </c>
      <c r="J57" s="3">
        <f t="shared" si="0"/>
        <v>45662.291666666664</v>
      </c>
      <c r="K57" t="str">
        <f>TEXT(tblSales[[#This Row],[Date]],"ddd")</f>
        <v>Sun</v>
      </c>
      <c r="L57" s="4">
        <f t="shared" si="1"/>
        <v>7</v>
      </c>
    </row>
    <row r="58" spans="1:12" x14ac:dyDescent="0.45">
      <c r="A58" s="1">
        <v>45662</v>
      </c>
      <c r="B58" s="2">
        <v>0.375</v>
      </c>
      <c r="C58" t="s">
        <v>22</v>
      </c>
      <c r="D58" t="s">
        <v>16</v>
      </c>
      <c r="E58">
        <v>2</v>
      </c>
      <c r="F58">
        <v>16</v>
      </c>
      <c r="G58" t="s">
        <v>14</v>
      </c>
      <c r="H58" t="s">
        <v>17</v>
      </c>
      <c r="I58">
        <v>32</v>
      </c>
      <c r="J58" s="3">
        <f t="shared" si="0"/>
        <v>45662.375</v>
      </c>
      <c r="K58" t="str">
        <f>TEXT(tblSales[[#This Row],[Date]],"ddd")</f>
        <v>Sun</v>
      </c>
      <c r="L58" s="4">
        <f t="shared" si="1"/>
        <v>9</v>
      </c>
    </row>
    <row r="59" spans="1:12" x14ac:dyDescent="0.45">
      <c r="A59" s="1">
        <v>45662</v>
      </c>
      <c r="B59" s="2">
        <v>0.41666666666666669</v>
      </c>
      <c r="C59" t="s">
        <v>26</v>
      </c>
      <c r="D59" t="s">
        <v>10</v>
      </c>
      <c r="E59">
        <v>3</v>
      </c>
      <c r="F59">
        <v>17</v>
      </c>
      <c r="G59" t="s">
        <v>11</v>
      </c>
      <c r="H59" t="s">
        <v>17</v>
      </c>
      <c r="I59">
        <v>51</v>
      </c>
      <c r="J59" s="3">
        <f t="shared" si="0"/>
        <v>45662.416666666664</v>
      </c>
      <c r="K59" t="str">
        <f>TEXT(tblSales[[#This Row],[Date]],"ddd")</f>
        <v>Sun</v>
      </c>
      <c r="L59" s="4">
        <f t="shared" si="1"/>
        <v>10</v>
      </c>
    </row>
    <row r="60" spans="1:12" x14ac:dyDescent="0.45">
      <c r="A60" s="1">
        <v>45662</v>
      </c>
      <c r="B60" s="2">
        <v>0.625</v>
      </c>
      <c r="C60" t="s">
        <v>25</v>
      </c>
      <c r="D60" t="s">
        <v>10</v>
      </c>
      <c r="E60">
        <v>2</v>
      </c>
      <c r="F60">
        <v>18</v>
      </c>
      <c r="G60" t="s">
        <v>14</v>
      </c>
      <c r="H60" t="s">
        <v>19</v>
      </c>
      <c r="I60">
        <v>36</v>
      </c>
      <c r="J60" s="3">
        <f t="shared" si="0"/>
        <v>45662.625</v>
      </c>
      <c r="K60" t="str">
        <f>TEXT(tblSales[[#This Row],[Date]],"ddd")</f>
        <v>Sun</v>
      </c>
      <c r="L60" s="4">
        <f t="shared" si="1"/>
        <v>15</v>
      </c>
    </row>
    <row r="61" spans="1:12" x14ac:dyDescent="0.45">
      <c r="A61" s="1">
        <v>45662</v>
      </c>
      <c r="B61" s="2">
        <v>0.66666666666666663</v>
      </c>
      <c r="C61" t="s">
        <v>25</v>
      </c>
      <c r="D61" t="s">
        <v>10</v>
      </c>
      <c r="E61">
        <v>2</v>
      </c>
      <c r="F61">
        <v>18</v>
      </c>
      <c r="G61" t="s">
        <v>11</v>
      </c>
      <c r="H61" t="s">
        <v>19</v>
      </c>
      <c r="I61">
        <v>36</v>
      </c>
      <c r="J61" s="3">
        <f t="shared" si="0"/>
        <v>45662.666666666664</v>
      </c>
      <c r="K61" t="str">
        <f>TEXT(tblSales[[#This Row],[Date]],"ddd")</f>
        <v>Sun</v>
      </c>
      <c r="L61" s="4">
        <f t="shared" si="1"/>
        <v>16</v>
      </c>
    </row>
    <row r="62" spans="1:12" x14ac:dyDescent="0.45">
      <c r="A62" s="1">
        <v>45662</v>
      </c>
      <c r="B62" s="2">
        <v>0.66666666666666663</v>
      </c>
      <c r="C62" t="s">
        <v>9</v>
      </c>
      <c r="D62" t="s">
        <v>10</v>
      </c>
      <c r="E62">
        <v>2</v>
      </c>
      <c r="F62">
        <v>6</v>
      </c>
      <c r="G62" t="s">
        <v>11</v>
      </c>
      <c r="H62" t="s">
        <v>12</v>
      </c>
      <c r="I62">
        <v>12</v>
      </c>
      <c r="J62" s="3">
        <f t="shared" si="0"/>
        <v>45662.666666666664</v>
      </c>
      <c r="K62" t="str">
        <f>TEXT(tblSales[[#This Row],[Date]],"ddd")</f>
        <v>Sun</v>
      </c>
      <c r="L62" s="4">
        <f t="shared" si="1"/>
        <v>16</v>
      </c>
    </row>
    <row r="63" spans="1:12" x14ac:dyDescent="0.45">
      <c r="A63" s="1">
        <v>45662</v>
      </c>
      <c r="B63" s="2">
        <v>0.66666666666666663</v>
      </c>
      <c r="C63" t="s">
        <v>24</v>
      </c>
      <c r="D63" t="s">
        <v>16</v>
      </c>
      <c r="E63">
        <v>3</v>
      </c>
      <c r="F63">
        <v>12</v>
      </c>
      <c r="G63" t="s">
        <v>14</v>
      </c>
      <c r="H63" t="s">
        <v>19</v>
      </c>
      <c r="I63">
        <v>36</v>
      </c>
      <c r="J63" s="3">
        <f t="shared" si="0"/>
        <v>45662.666666666664</v>
      </c>
      <c r="K63" t="str">
        <f>TEXT(tblSales[[#This Row],[Date]],"ddd")</f>
        <v>Sun</v>
      </c>
      <c r="L63" s="4">
        <f t="shared" si="1"/>
        <v>16</v>
      </c>
    </row>
    <row r="64" spans="1:12" x14ac:dyDescent="0.45">
      <c r="A64" s="1">
        <v>45662</v>
      </c>
      <c r="B64" s="2">
        <v>0.79166666666666663</v>
      </c>
      <c r="C64" t="s">
        <v>15</v>
      </c>
      <c r="D64" t="s">
        <v>16</v>
      </c>
      <c r="E64">
        <v>1</v>
      </c>
      <c r="F64">
        <v>10</v>
      </c>
      <c r="G64" t="s">
        <v>14</v>
      </c>
      <c r="H64" t="s">
        <v>19</v>
      </c>
      <c r="I64">
        <v>10</v>
      </c>
      <c r="J64" s="3">
        <f t="shared" si="0"/>
        <v>45662.791666666664</v>
      </c>
      <c r="K64" t="str">
        <f>TEXT(tblSales[[#This Row],[Date]],"ddd")</f>
        <v>Sun</v>
      </c>
      <c r="L64" s="4">
        <f t="shared" si="1"/>
        <v>19</v>
      </c>
    </row>
    <row r="65" spans="1:12" x14ac:dyDescent="0.45">
      <c r="A65" s="1">
        <v>45662</v>
      </c>
      <c r="B65" s="2">
        <v>0.95833333333333337</v>
      </c>
      <c r="C65" t="s">
        <v>20</v>
      </c>
      <c r="D65" t="s">
        <v>16</v>
      </c>
      <c r="E65">
        <v>1</v>
      </c>
      <c r="F65">
        <v>14</v>
      </c>
      <c r="G65" t="s">
        <v>23</v>
      </c>
      <c r="H65" t="s">
        <v>19</v>
      </c>
      <c r="I65">
        <v>14</v>
      </c>
      <c r="J65" s="3">
        <f t="shared" si="0"/>
        <v>45662.958333333336</v>
      </c>
      <c r="K65" t="str">
        <f>TEXT(tblSales[[#This Row],[Date]],"ddd")</f>
        <v>Sun</v>
      </c>
      <c r="L65" s="4">
        <f t="shared" si="1"/>
        <v>23</v>
      </c>
    </row>
    <row r="66" spans="1:12" x14ac:dyDescent="0.45">
      <c r="A66" s="1">
        <v>45663</v>
      </c>
      <c r="B66" s="2">
        <v>4.1666666666666664E-2</v>
      </c>
      <c r="C66" t="s">
        <v>22</v>
      </c>
      <c r="D66" t="s">
        <v>16</v>
      </c>
      <c r="E66">
        <v>3</v>
      </c>
      <c r="F66">
        <v>16</v>
      </c>
      <c r="G66" t="s">
        <v>23</v>
      </c>
      <c r="H66" t="s">
        <v>12</v>
      </c>
      <c r="I66">
        <v>48</v>
      </c>
      <c r="J66" s="3">
        <f t="shared" ref="J66:J129" si="2">A66+B66</f>
        <v>45663.041666666664</v>
      </c>
      <c r="K66" t="str">
        <f>TEXT(tblSales[[#This Row],[Date]],"ddd")</f>
        <v>Mon</v>
      </c>
      <c r="L66" s="4">
        <f t="shared" ref="L66:L129" si="3" xml:space="preserve"> HOUR(B66)</f>
        <v>1</v>
      </c>
    </row>
    <row r="67" spans="1:12" x14ac:dyDescent="0.45">
      <c r="A67" s="1">
        <v>45663</v>
      </c>
      <c r="B67" s="2">
        <v>8.3333333333333329E-2</v>
      </c>
      <c r="C67" t="s">
        <v>21</v>
      </c>
      <c r="D67" t="s">
        <v>16</v>
      </c>
      <c r="E67">
        <v>3</v>
      </c>
      <c r="F67">
        <v>15</v>
      </c>
      <c r="G67" t="s">
        <v>11</v>
      </c>
      <c r="H67" t="s">
        <v>12</v>
      </c>
      <c r="I67">
        <v>45</v>
      </c>
      <c r="J67" s="3">
        <f t="shared" si="2"/>
        <v>45663.083333333336</v>
      </c>
      <c r="K67" t="str">
        <f>TEXT(tblSales[[#This Row],[Date]],"ddd")</f>
        <v>Mon</v>
      </c>
      <c r="L67" s="4">
        <f t="shared" si="3"/>
        <v>2</v>
      </c>
    </row>
    <row r="68" spans="1:12" x14ac:dyDescent="0.45">
      <c r="A68" s="1">
        <v>45663</v>
      </c>
      <c r="B68" s="2">
        <v>0.125</v>
      </c>
      <c r="C68" t="s">
        <v>15</v>
      </c>
      <c r="D68" t="s">
        <v>16</v>
      </c>
      <c r="E68">
        <v>2</v>
      </c>
      <c r="F68">
        <v>10</v>
      </c>
      <c r="G68" t="s">
        <v>14</v>
      </c>
      <c r="H68" t="s">
        <v>17</v>
      </c>
      <c r="I68">
        <v>20</v>
      </c>
      <c r="J68" s="3">
        <f t="shared" si="2"/>
        <v>45663.125</v>
      </c>
      <c r="K68" t="str">
        <f>TEXT(tblSales[[#This Row],[Date]],"ddd")</f>
        <v>Mon</v>
      </c>
      <c r="L68" s="4">
        <f t="shared" si="3"/>
        <v>3</v>
      </c>
    </row>
    <row r="69" spans="1:12" x14ac:dyDescent="0.45">
      <c r="A69" s="1">
        <v>45663</v>
      </c>
      <c r="B69" s="2">
        <v>0.16666666666666666</v>
      </c>
      <c r="C69" t="s">
        <v>15</v>
      </c>
      <c r="D69" t="s">
        <v>16</v>
      </c>
      <c r="E69">
        <v>3</v>
      </c>
      <c r="F69">
        <v>10</v>
      </c>
      <c r="G69" t="s">
        <v>14</v>
      </c>
      <c r="H69" t="s">
        <v>12</v>
      </c>
      <c r="I69">
        <v>30</v>
      </c>
      <c r="J69" s="3">
        <f t="shared" si="2"/>
        <v>45663.166666666664</v>
      </c>
      <c r="K69" t="str">
        <f>TEXT(tblSales[[#This Row],[Date]],"ddd")</f>
        <v>Mon</v>
      </c>
      <c r="L69" s="4">
        <f t="shared" si="3"/>
        <v>4</v>
      </c>
    </row>
    <row r="70" spans="1:12" x14ac:dyDescent="0.45">
      <c r="A70" s="1">
        <v>45663</v>
      </c>
      <c r="B70" s="2">
        <v>0.29166666666666669</v>
      </c>
      <c r="C70" t="s">
        <v>13</v>
      </c>
      <c r="D70" t="s">
        <v>10</v>
      </c>
      <c r="E70">
        <v>3</v>
      </c>
      <c r="F70">
        <v>9</v>
      </c>
      <c r="G70" t="s">
        <v>14</v>
      </c>
      <c r="H70" t="s">
        <v>17</v>
      </c>
      <c r="I70">
        <v>27</v>
      </c>
      <c r="J70" s="3">
        <f t="shared" si="2"/>
        <v>45663.291666666664</v>
      </c>
      <c r="K70" t="str">
        <f>TEXT(tblSales[[#This Row],[Date]],"ddd")</f>
        <v>Mon</v>
      </c>
      <c r="L70" s="4">
        <f t="shared" si="3"/>
        <v>7</v>
      </c>
    </row>
    <row r="71" spans="1:12" x14ac:dyDescent="0.45">
      <c r="A71" s="1">
        <v>45663</v>
      </c>
      <c r="B71" s="2">
        <v>0.33333333333333331</v>
      </c>
      <c r="C71" t="s">
        <v>21</v>
      </c>
      <c r="D71" t="s">
        <v>16</v>
      </c>
      <c r="E71">
        <v>1</v>
      </c>
      <c r="F71">
        <v>15</v>
      </c>
      <c r="G71" t="s">
        <v>14</v>
      </c>
      <c r="H71" t="s">
        <v>12</v>
      </c>
      <c r="I71">
        <v>15</v>
      </c>
      <c r="J71" s="3">
        <f t="shared" si="2"/>
        <v>45663.333333333336</v>
      </c>
      <c r="K71" t="str">
        <f>TEXT(tblSales[[#This Row],[Date]],"ddd")</f>
        <v>Mon</v>
      </c>
      <c r="L71" s="4">
        <f t="shared" si="3"/>
        <v>8</v>
      </c>
    </row>
    <row r="72" spans="1:12" x14ac:dyDescent="0.45">
      <c r="A72" s="1">
        <v>45663</v>
      </c>
      <c r="B72" s="2">
        <v>0.375</v>
      </c>
      <c r="C72" t="s">
        <v>18</v>
      </c>
      <c r="D72" t="s">
        <v>10</v>
      </c>
      <c r="E72">
        <v>2</v>
      </c>
      <c r="F72">
        <v>8</v>
      </c>
      <c r="G72" t="s">
        <v>14</v>
      </c>
      <c r="H72" t="s">
        <v>19</v>
      </c>
      <c r="I72">
        <v>16</v>
      </c>
      <c r="J72" s="3">
        <f t="shared" si="2"/>
        <v>45663.375</v>
      </c>
      <c r="K72" t="str">
        <f>TEXT(tblSales[[#This Row],[Date]],"ddd")</f>
        <v>Mon</v>
      </c>
      <c r="L72" s="4">
        <f t="shared" si="3"/>
        <v>9</v>
      </c>
    </row>
    <row r="73" spans="1:12" x14ac:dyDescent="0.45">
      <c r="A73" s="1">
        <v>45663</v>
      </c>
      <c r="B73" s="2">
        <v>0.41666666666666669</v>
      </c>
      <c r="C73" t="s">
        <v>22</v>
      </c>
      <c r="D73" t="s">
        <v>16</v>
      </c>
      <c r="E73">
        <v>2</v>
      </c>
      <c r="F73">
        <v>16</v>
      </c>
      <c r="G73" t="s">
        <v>23</v>
      </c>
      <c r="H73" t="s">
        <v>19</v>
      </c>
      <c r="I73">
        <v>32</v>
      </c>
      <c r="J73" s="3">
        <f t="shared" si="2"/>
        <v>45663.416666666664</v>
      </c>
      <c r="K73" t="str">
        <f>TEXT(tblSales[[#This Row],[Date]],"ddd")</f>
        <v>Mon</v>
      </c>
      <c r="L73" s="4">
        <f t="shared" si="3"/>
        <v>10</v>
      </c>
    </row>
    <row r="74" spans="1:12" x14ac:dyDescent="0.45">
      <c r="A74" s="1">
        <v>45663</v>
      </c>
      <c r="B74" s="2">
        <v>0.41666666666666669</v>
      </c>
      <c r="C74" t="s">
        <v>22</v>
      </c>
      <c r="D74" t="s">
        <v>16</v>
      </c>
      <c r="E74">
        <v>1</v>
      </c>
      <c r="F74">
        <v>16</v>
      </c>
      <c r="G74" t="s">
        <v>14</v>
      </c>
      <c r="H74" t="s">
        <v>12</v>
      </c>
      <c r="I74">
        <v>16</v>
      </c>
      <c r="J74" s="3">
        <f t="shared" si="2"/>
        <v>45663.416666666664</v>
      </c>
      <c r="K74" t="str">
        <f>TEXT(tblSales[[#This Row],[Date]],"ddd")</f>
        <v>Mon</v>
      </c>
      <c r="L74" s="4">
        <f t="shared" si="3"/>
        <v>10</v>
      </c>
    </row>
    <row r="75" spans="1:12" x14ac:dyDescent="0.45">
      <c r="A75" s="1">
        <v>45663</v>
      </c>
      <c r="B75" s="2">
        <v>0.41666666666666669</v>
      </c>
      <c r="C75" t="s">
        <v>22</v>
      </c>
      <c r="D75" t="s">
        <v>16</v>
      </c>
      <c r="E75">
        <v>2</v>
      </c>
      <c r="F75">
        <v>16</v>
      </c>
      <c r="G75" t="s">
        <v>11</v>
      </c>
      <c r="H75" t="s">
        <v>12</v>
      </c>
      <c r="I75">
        <v>32</v>
      </c>
      <c r="J75" s="3">
        <f t="shared" si="2"/>
        <v>45663.416666666664</v>
      </c>
      <c r="K75" t="str">
        <f>TEXT(tblSales[[#This Row],[Date]],"ddd")</f>
        <v>Mon</v>
      </c>
      <c r="L75" s="4">
        <f t="shared" si="3"/>
        <v>10</v>
      </c>
    </row>
    <row r="76" spans="1:12" x14ac:dyDescent="0.45">
      <c r="A76" s="1">
        <v>45663</v>
      </c>
      <c r="B76" s="2">
        <v>0.58333333333333337</v>
      </c>
      <c r="C76" t="s">
        <v>24</v>
      </c>
      <c r="D76" t="s">
        <v>16</v>
      </c>
      <c r="E76">
        <v>2</v>
      </c>
      <c r="F76">
        <v>12</v>
      </c>
      <c r="G76" t="s">
        <v>14</v>
      </c>
      <c r="H76" t="s">
        <v>19</v>
      </c>
      <c r="I76">
        <v>24</v>
      </c>
      <c r="J76" s="3">
        <f t="shared" si="2"/>
        <v>45663.583333333336</v>
      </c>
      <c r="K76" t="str">
        <f>TEXT(tblSales[[#This Row],[Date]],"ddd")</f>
        <v>Mon</v>
      </c>
      <c r="L76" s="4">
        <f t="shared" si="3"/>
        <v>14</v>
      </c>
    </row>
    <row r="77" spans="1:12" x14ac:dyDescent="0.45">
      <c r="A77" s="1">
        <v>45663</v>
      </c>
      <c r="B77" s="2">
        <v>0.58333333333333337</v>
      </c>
      <c r="C77" t="s">
        <v>21</v>
      </c>
      <c r="D77" t="s">
        <v>16</v>
      </c>
      <c r="E77">
        <v>3</v>
      </c>
      <c r="F77">
        <v>15</v>
      </c>
      <c r="G77" t="s">
        <v>11</v>
      </c>
      <c r="H77" t="s">
        <v>19</v>
      </c>
      <c r="I77">
        <v>45</v>
      </c>
      <c r="J77" s="3">
        <f t="shared" si="2"/>
        <v>45663.583333333336</v>
      </c>
      <c r="K77" t="str">
        <f>TEXT(tblSales[[#This Row],[Date]],"ddd")</f>
        <v>Mon</v>
      </c>
      <c r="L77" s="4">
        <f t="shared" si="3"/>
        <v>14</v>
      </c>
    </row>
    <row r="78" spans="1:12" x14ac:dyDescent="0.45">
      <c r="A78" s="1">
        <v>45663</v>
      </c>
      <c r="B78" s="2">
        <v>0.75</v>
      </c>
      <c r="C78" t="s">
        <v>21</v>
      </c>
      <c r="D78" t="s">
        <v>16</v>
      </c>
      <c r="E78">
        <v>2</v>
      </c>
      <c r="F78">
        <v>15</v>
      </c>
      <c r="G78" t="s">
        <v>14</v>
      </c>
      <c r="H78" t="s">
        <v>19</v>
      </c>
      <c r="I78">
        <v>30</v>
      </c>
      <c r="J78" s="3">
        <f t="shared" si="2"/>
        <v>45663.75</v>
      </c>
      <c r="K78" t="str">
        <f>TEXT(tblSales[[#This Row],[Date]],"ddd")</f>
        <v>Mon</v>
      </c>
      <c r="L78" s="4">
        <f t="shared" si="3"/>
        <v>18</v>
      </c>
    </row>
    <row r="79" spans="1:12" x14ac:dyDescent="0.45">
      <c r="A79" s="1">
        <v>45663</v>
      </c>
      <c r="B79" s="2">
        <v>0.91666666666666663</v>
      </c>
      <c r="C79" t="s">
        <v>15</v>
      </c>
      <c r="D79" t="s">
        <v>16</v>
      </c>
      <c r="E79">
        <v>2</v>
      </c>
      <c r="F79">
        <v>10</v>
      </c>
      <c r="G79" t="s">
        <v>23</v>
      </c>
      <c r="H79" t="s">
        <v>12</v>
      </c>
      <c r="I79">
        <v>20</v>
      </c>
      <c r="J79" s="3">
        <f t="shared" si="2"/>
        <v>45663.916666666664</v>
      </c>
      <c r="K79" t="str">
        <f>TEXT(tblSales[[#This Row],[Date]],"ddd")</f>
        <v>Mon</v>
      </c>
      <c r="L79" s="4">
        <f t="shared" si="3"/>
        <v>22</v>
      </c>
    </row>
    <row r="80" spans="1:12" x14ac:dyDescent="0.45">
      <c r="A80" s="1">
        <v>45663</v>
      </c>
      <c r="B80" s="2">
        <v>0.95833333333333337</v>
      </c>
      <c r="C80" t="s">
        <v>26</v>
      </c>
      <c r="D80" t="s">
        <v>10</v>
      </c>
      <c r="E80">
        <v>1</v>
      </c>
      <c r="F80">
        <v>17</v>
      </c>
      <c r="G80" t="s">
        <v>11</v>
      </c>
      <c r="H80" t="s">
        <v>12</v>
      </c>
      <c r="I80">
        <v>17</v>
      </c>
      <c r="J80" s="3">
        <f t="shared" si="2"/>
        <v>45663.958333333336</v>
      </c>
      <c r="K80" t="str">
        <f>TEXT(tblSales[[#This Row],[Date]],"ddd")</f>
        <v>Mon</v>
      </c>
      <c r="L80" s="4">
        <f t="shared" si="3"/>
        <v>23</v>
      </c>
    </row>
    <row r="81" spans="1:12" x14ac:dyDescent="0.45">
      <c r="A81" s="1">
        <v>45663</v>
      </c>
      <c r="B81" s="2">
        <v>0.95833333333333337</v>
      </c>
      <c r="C81" t="s">
        <v>22</v>
      </c>
      <c r="D81" t="s">
        <v>16</v>
      </c>
      <c r="E81">
        <v>1</v>
      </c>
      <c r="F81">
        <v>16</v>
      </c>
      <c r="G81" t="s">
        <v>14</v>
      </c>
      <c r="H81" t="s">
        <v>17</v>
      </c>
      <c r="I81">
        <v>16</v>
      </c>
      <c r="J81" s="3">
        <f t="shared" si="2"/>
        <v>45663.958333333336</v>
      </c>
      <c r="K81" t="str">
        <f>TEXT(tblSales[[#This Row],[Date]],"ddd")</f>
        <v>Mon</v>
      </c>
      <c r="L81" s="4">
        <f t="shared" si="3"/>
        <v>23</v>
      </c>
    </row>
    <row r="82" spans="1:12" x14ac:dyDescent="0.45">
      <c r="A82" s="1">
        <v>45664</v>
      </c>
      <c r="B82" s="2">
        <v>8.3333333333333329E-2</v>
      </c>
      <c r="C82" t="s">
        <v>18</v>
      </c>
      <c r="D82" t="s">
        <v>10</v>
      </c>
      <c r="E82">
        <v>2</v>
      </c>
      <c r="F82">
        <v>8</v>
      </c>
      <c r="G82" t="s">
        <v>14</v>
      </c>
      <c r="H82" t="s">
        <v>17</v>
      </c>
      <c r="I82">
        <v>16</v>
      </c>
      <c r="J82" s="3">
        <f t="shared" si="2"/>
        <v>45664.083333333336</v>
      </c>
      <c r="K82" t="str">
        <f>TEXT(tblSales[[#This Row],[Date]],"ddd")</f>
        <v>Tue</v>
      </c>
      <c r="L82" s="4">
        <f t="shared" si="3"/>
        <v>2</v>
      </c>
    </row>
    <row r="83" spans="1:12" x14ac:dyDescent="0.45">
      <c r="A83" s="1">
        <v>45664</v>
      </c>
      <c r="B83" s="2">
        <v>0.125</v>
      </c>
      <c r="C83" t="s">
        <v>21</v>
      </c>
      <c r="D83" t="s">
        <v>16</v>
      </c>
      <c r="E83">
        <v>2</v>
      </c>
      <c r="F83">
        <v>15</v>
      </c>
      <c r="G83" t="s">
        <v>14</v>
      </c>
      <c r="H83" t="s">
        <v>19</v>
      </c>
      <c r="I83">
        <v>30</v>
      </c>
      <c r="J83" s="3">
        <f t="shared" si="2"/>
        <v>45664.125</v>
      </c>
      <c r="K83" t="str">
        <f>TEXT(tblSales[[#This Row],[Date]],"ddd")</f>
        <v>Tue</v>
      </c>
      <c r="L83" s="4">
        <f t="shared" si="3"/>
        <v>3</v>
      </c>
    </row>
    <row r="84" spans="1:12" x14ac:dyDescent="0.45">
      <c r="A84" s="1">
        <v>45664</v>
      </c>
      <c r="B84" s="2">
        <v>0.20833333333333334</v>
      </c>
      <c r="C84" t="s">
        <v>20</v>
      </c>
      <c r="D84" t="s">
        <v>16</v>
      </c>
      <c r="E84">
        <v>3</v>
      </c>
      <c r="F84">
        <v>14</v>
      </c>
      <c r="G84" t="s">
        <v>14</v>
      </c>
      <c r="H84" t="s">
        <v>19</v>
      </c>
      <c r="I84">
        <v>42</v>
      </c>
      <c r="J84" s="3">
        <f t="shared" si="2"/>
        <v>45664.208333333336</v>
      </c>
      <c r="K84" t="str">
        <f>TEXT(tblSales[[#This Row],[Date]],"ddd")</f>
        <v>Tue</v>
      </c>
      <c r="L84" s="4">
        <f t="shared" si="3"/>
        <v>5</v>
      </c>
    </row>
    <row r="85" spans="1:12" x14ac:dyDescent="0.45">
      <c r="A85" s="1">
        <v>45664</v>
      </c>
      <c r="B85" s="2">
        <v>0.25</v>
      </c>
      <c r="C85" t="s">
        <v>15</v>
      </c>
      <c r="D85" t="s">
        <v>16</v>
      </c>
      <c r="E85">
        <v>3</v>
      </c>
      <c r="F85">
        <v>10</v>
      </c>
      <c r="G85" t="s">
        <v>14</v>
      </c>
      <c r="H85" t="s">
        <v>19</v>
      </c>
      <c r="I85">
        <v>30</v>
      </c>
      <c r="J85" s="3">
        <f t="shared" si="2"/>
        <v>45664.25</v>
      </c>
      <c r="K85" t="str">
        <f>TEXT(tblSales[[#This Row],[Date]],"ddd")</f>
        <v>Tue</v>
      </c>
      <c r="L85" s="4">
        <f t="shared" si="3"/>
        <v>6</v>
      </c>
    </row>
    <row r="86" spans="1:12" x14ac:dyDescent="0.45">
      <c r="A86" s="1">
        <v>45664</v>
      </c>
      <c r="B86" s="2">
        <v>0.29166666666666669</v>
      </c>
      <c r="C86" t="s">
        <v>20</v>
      </c>
      <c r="D86" t="s">
        <v>16</v>
      </c>
      <c r="E86">
        <v>1</v>
      </c>
      <c r="F86">
        <v>14</v>
      </c>
      <c r="G86" t="s">
        <v>23</v>
      </c>
      <c r="H86" t="s">
        <v>12</v>
      </c>
      <c r="I86">
        <v>14</v>
      </c>
      <c r="J86" s="3">
        <f t="shared" si="2"/>
        <v>45664.291666666664</v>
      </c>
      <c r="K86" t="str">
        <f>TEXT(tblSales[[#This Row],[Date]],"ddd")</f>
        <v>Tue</v>
      </c>
      <c r="L86" s="4">
        <f t="shared" si="3"/>
        <v>7</v>
      </c>
    </row>
    <row r="87" spans="1:12" x14ac:dyDescent="0.45">
      <c r="A87" s="1">
        <v>45664</v>
      </c>
      <c r="B87" s="2">
        <v>0.33333333333333331</v>
      </c>
      <c r="C87" t="s">
        <v>25</v>
      </c>
      <c r="D87" t="s">
        <v>10</v>
      </c>
      <c r="E87">
        <v>1</v>
      </c>
      <c r="F87">
        <v>18</v>
      </c>
      <c r="G87" t="s">
        <v>14</v>
      </c>
      <c r="H87" t="s">
        <v>12</v>
      </c>
      <c r="I87">
        <v>18</v>
      </c>
      <c r="J87" s="3">
        <f t="shared" si="2"/>
        <v>45664.333333333336</v>
      </c>
      <c r="K87" t="str">
        <f>TEXT(tblSales[[#This Row],[Date]],"ddd")</f>
        <v>Tue</v>
      </c>
      <c r="L87" s="4">
        <f t="shared" si="3"/>
        <v>8</v>
      </c>
    </row>
    <row r="88" spans="1:12" x14ac:dyDescent="0.45">
      <c r="A88" s="1">
        <v>45664</v>
      </c>
      <c r="B88" s="2">
        <v>0.41666666666666669</v>
      </c>
      <c r="C88" t="s">
        <v>25</v>
      </c>
      <c r="D88" t="s">
        <v>10</v>
      </c>
      <c r="E88">
        <v>1</v>
      </c>
      <c r="F88">
        <v>18</v>
      </c>
      <c r="G88" t="s">
        <v>23</v>
      </c>
      <c r="H88" t="s">
        <v>19</v>
      </c>
      <c r="I88">
        <v>18</v>
      </c>
      <c r="J88" s="3">
        <f t="shared" si="2"/>
        <v>45664.416666666664</v>
      </c>
      <c r="K88" t="str">
        <f>TEXT(tblSales[[#This Row],[Date]],"ddd")</f>
        <v>Tue</v>
      </c>
      <c r="L88" s="4">
        <f t="shared" si="3"/>
        <v>10</v>
      </c>
    </row>
    <row r="89" spans="1:12" x14ac:dyDescent="0.45">
      <c r="A89" s="1">
        <v>45664</v>
      </c>
      <c r="B89" s="2">
        <v>0.5</v>
      </c>
      <c r="C89" t="s">
        <v>20</v>
      </c>
      <c r="D89" t="s">
        <v>16</v>
      </c>
      <c r="E89">
        <v>3</v>
      </c>
      <c r="F89">
        <v>14</v>
      </c>
      <c r="G89" t="s">
        <v>11</v>
      </c>
      <c r="H89" t="s">
        <v>12</v>
      </c>
      <c r="I89">
        <v>42</v>
      </c>
      <c r="J89" s="3">
        <f t="shared" si="2"/>
        <v>45664.5</v>
      </c>
      <c r="K89" t="str">
        <f>TEXT(tblSales[[#This Row],[Date]],"ddd")</f>
        <v>Tue</v>
      </c>
      <c r="L89" s="4">
        <f t="shared" si="3"/>
        <v>12</v>
      </c>
    </row>
    <row r="90" spans="1:12" x14ac:dyDescent="0.45">
      <c r="A90" s="1">
        <v>45664</v>
      </c>
      <c r="B90" s="2">
        <v>0.54166666666666663</v>
      </c>
      <c r="C90" t="s">
        <v>13</v>
      </c>
      <c r="D90" t="s">
        <v>10</v>
      </c>
      <c r="E90">
        <v>1</v>
      </c>
      <c r="F90">
        <v>9</v>
      </c>
      <c r="G90" t="s">
        <v>14</v>
      </c>
      <c r="H90" t="s">
        <v>19</v>
      </c>
      <c r="I90">
        <v>9</v>
      </c>
      <c r="J90" s="3">
        <f t="shared" si="2"/>
        <v>45664.541666666664</v>
      </c>
      <c r="K90" t="str">
        <f>TEXT(tblSales[[#This Row],[Date]],"ddd")</f>
        <v>Tue</v>
      </c>
      <c r="L90" s="4">
        <f t="shared" si="3"/>
        <v>13</v>
      </c>
    </row>
    <row r="91" spans="1:12" x14ac:dyDescent="0.45">
      <c r="A91" s="1">
        <v>45664</v>
      </c>
      <c r="B91" s="2">
        <v>0.625</v>
      </c>
      <c r="C91" t="s">
        <v>21</v>
      </c>
      <c r="D91" t="s">
        <v>16</v>
      </c>
      <c r="E91">
        <v>1</v>
      </c>
      <c r="F91">
        <v>15</v>
      </c>
      <c r="G91" t="s">
        <v>11</v>
      </c>
      <c r="H91" t="s">
        <v>12</v>
      </c>
      <c r="I91">
        <v>15</v>
      </c>
      <c r="J91" s="3">
        <f t="shared" si="2"/>
        <v>45664.625</v>
      </c>
      <c r="K91" t="str">
        <f>TEXT(tblSales[[#This Row],[Date]],"ddd")</f>
        <v>Tue</v>
      </c>
      <c r="L91" s="4">
        <f t="shared" si="3"/>
        <v>15</v>
      </c>
    </row>
    <row r="92" spans="1:12" x14ac:dyDescent="0.45">
      <c r="A92" s="1">
        <v>45664</v>
      </c>
      <c r="B92" s="2">
        <v>0.625</v>
      </c>
      <c r="C92" t="s">
        <v>22</v>
      </c>
      <c r="D92" t="s">
        <v>16</v>
      </c>
      <c r="E92">
        <v>2</v>
      </c>
      <c r="F92">
        <v>16</v>
      </c>
      <c r="G92" t="s">
        <v>11</v>
      </c>
      <c r="H92" t="s">
        <v>12</v>
      </c>
      <c r="I92">
        <v>32</v>
      </c>
      <c r="J92" s="3">
        <f t="shared" si="2"/>
        <v>45664.625</v>
      </c>
      <c r="K92" t="str">
        <f>TEXT(tblSales[[#This Row],[Date]],"ddd")</f>
        <v>Tue</v>
      </c>
      <c r="L92" s="4">
        <f t="shared" si="3"/>
        <v>15</v>
      </c>
    </row>
    <row r="93" spans="1:12" x14ac:dyDescent="0.45">
      <c r="A93" s="1">
        <v>45664</v>
      </c>
      <c r="B93" s="2">
        <v>0.66666666666666663</v>
      </c>
      <c r="C93" t="s">
        <v>22</v>
      </c>
      <c r="D93" t="s">
        <v>16</v>
      </c>
      <c r="E93">
        <v>2</v>
      </c>
      <c r="F93">
        <v>16</v>
      </c>
      <c r="G93" t="s">
        <v>11</v>
      </c>
      <c r="H93" t="s">
        <v>19</v>
      </c>
      <c r="I93">
        <v>32</v>
      </c>
      <c r="J93" s="3">
        <f t="shared" si="2"/>
        <v>45664.666666666664</v>
      </c>
      <c r="K93" t="str">
        <f>TEXT(tblSales[[#This Row],[Date]],"ddd")</f>
        <v>Tue</v>
      </c>
      <c r="L93" s="4">
        <f t="shared" si="3"/>
        <v>16</v>
      </c>
    </row>
    <row r="94" spans="1:12" x14ac:dyDescent="0.45">
      <c r="A94" s="1">
        <v>45664</v>
      </c>
      <c r="B94" s="2">
        <v>0.66666666666666663</v>
      </c>
      <c r="C94" t="s">
        <v>9</v>
      </c>
      <c r="D94" t="s">
        <v>10</v>
      </c>
      <c r="E94">
        <v>2</v>
      </c>
      <c r="F94">
        <v>6</v>
      </c>
      <c r="G94" t="s">
        <v>14</v>
      </c>
      <c r="H94" t="s">
        <v>19</v>
      </c>
      <c r="I94">
        <v>12</v>
      </c>
      <c r="J94" s="3">
        <f t="shared" si="2"/>
        <v>45664.666666666664</v>
      </c>
      <c r="K94" t="str">
        <f>TEXT(tblSales[[#This Row],[Date]],"ddd")</f>
        <v>Tue</v>
      </c>
      <c r="L94" s="4">
        <f t="shared" si="3"/>
        <v>16</v>
      </c>
    </row>
    <row r="95" spans="1:12" x14ac:dyDescent="0.45">
      <c r="A95" s="1">
        <v>45664</v>
      </c>
      <c r="B95" s="2">
        <v>0.66666666666666663</v>
      </c>
      <c r="C95" t="s">
        <v>26</v>
      </c>
      <c r="D95" t="s">
        <v>10</v>
      </c>
      <c r="E95">
        <v>2</v>
      </c>
      <c r="F95">
        <v>17</v>
      </c>
      <c r="G95" t="s">
        <v>14</v>
      </c>
      <c r="H95" t="s">
        <v>19</v>
      </c>
      <c r="I95">
        <v>34</v>
      </c>
      <c r="J95" s="3">
        <f t="shared" si="2"/>
        <v>45664.666666666664</v>
      </c>
      <c r="K95" t="str">
        <f>TEXT(tblSales[[#This Row],[Date]],"ddd")</f>
        <v>Tue</v>
      </c>
      <c r="L95" s="4">
        <f t="shared" si="3"/>
        <v>16</v>
      </c>
    </row>
    <row r="96" spans="1:12" x14ac:dyDescent="0.45">
      <c r="A96" s="1">
        <v>45664</v>
      </c>
      <c r="B96" s="2">
        <v>0.70833333333333337</v>
      </c>
      <c r="C96" t="s">
        <v>25</v>
      </c>
      <c r="D96" t="s">
        <v>10</v>
      </c>
      <c r="E96">
        <v>2</v>
      </c>
      <c r="F96">
        <v>18</v>
      </c>
      <c r="G96" t="s">
        <v>11</v>
      </c>
      <c r="H96" t="s">
        <v>12</v>
      </c>
      <c r="I96">
        <v>36</v>
      </c>
      <c r="J96" s="3">
        <f t="shared" si="2"/>
        <v>45664.708333333336</v>
      </c>
      <c r="K96" t="str">
        <f>TEXT(tblSales[[#This Row],[Date]],"ddd")</f>
        <v>Tue</v>
      </c>
      <c r="L96" s="4">
        <f t="shared" si="3"/>
        <v>17</v>
      </c>
    </row>
    <row r="97" spans="1:12" x14ac:dyDescent="0.45">
      <c r="A97" s="1">
        <v>45664</v>
      </c>
      <c r="B97" s="2">
        <v>0.75</v>
      </c>
      <c r="C97" t="s">
        <v>15</v>
      </c>
      <c r="D97" t="s">
        <v>16</v>
      </c>
      <c r="E97">
        <v>2</v>
      </c>
      <c r="F97">
        <v>10</v>
      </c>
      <c r="G97" t="s">
        <v>14</v>
      </c>
      <c r="H97" t="s">
        <v>12</v>
      </c>
      <c r="I97">
        <v>20</v>
      </c>
      <c r="J97" s="3">
        <f t="shared" si="2"/>
        <v>45664.75</v>
      </c>
      <c r="K97" t="str">
        <f>TEXT(tblSales[[#This Row],[Date]],"ddd")</f>
        <v>Tue</v>
      </c>
      <c r="L97" s="4">
        <f t="shared" si="3"/>
        <v>18</v>
      </c>
    </row>
    <row r="98" spans="1:12" x14ac:dyDescent="0.45">
      <c r="A98" s="1">
        <v>45664</v>
      </c>
      <c r="B98" s="2">
        <v>0.91666666666666663</v>
      </c>
      <c r="C98" t="s">
        <v>20</v>
      </c>
      <c r="D98" t="s">
        <v>16</v>
      </c>
      <c r="E98">
        <v>1</v>
      </c>
      <c r="F98">
        <v>14</v>
      </c>
      <c r="G98" t="s">
        <v>23</v>
      </c>
      <c r="H98" t="s">
        <v>19</v>
      </c>
      <c r="I98">
        <v>14</v>
      </c>
      <c r="J98" s="3">
        <f t="shared" si="2"/>
        <v>45664.916666666664</v>
      </c>
      <c r="K98" t="str">
        <f>TEXT(tblSales[[#This Row],[Date]],"ddd")</f>
        <v>Tue</v>
      </c>
      <c r="L98" s="4">
        <f t="shared" si="3"/>
        <v>22</v>
      </c>
    </row>
    <row r="99" spans="1:12" x14ac:dyDescent="0.45">
      <c r="A99" s="1">
        <v>45665</v>
      </c>
      <c r="B99" s="2">
        <v>8.3333333333333329E-2</v>
      </c>
      <c r="C99" t="s">
        <v>25</v>
      </c>
      <c r="D99" t="s">
        <v>10</v>
      </c>
      <c r="E99">
        <v>2</v>
      </c>
      <c r="F99">
        <v>18</v>
      </c>
      <c r="G99" t="s">
        <v>11</v>
      </c>
      <c r="H99" t="s">
        <v>19</v>
      </c>
      <c r="I99">
        <v>36</v>
      </c>
      <c r="J99" s="3">
        <f t="shared" si="2"/>
        <v>45665.083333333336</v>
      </c>
      <c r="K99" t="str">
        <f>TEXT(tblSales[[#This Row],[Date]],"ddd")</f>
        <v>Wed</v>
      </c>
      <c r="L99" s="4">
        <f t="shared" si="3"/>
        <v>2</v>
      </c>
    </row>
    <row r="100" spans="1:12" x14ac:dyDescent="0.45">
      <c r="A100" s="1">
        <v>45665</v>
      </c>
      <c r="B100" s="2">
        <v>0.125</v>
      </c>
      <c r="C100" t="s">
        <v>25</v>
      </c>
      <c r="D100" t="s">
        <v>10</v>
      </c>
      <c r="E100">
        <v>2</v>
      </c>
      <c r="F100">
        <v>18</v>
      </c>
      <c r="G100" t="s">
        <v>14</v>
      </c>
      <c r="H100" t="s">
        <v>12</v>
      </c>
      <c r="I100">
        <v>36</v>
      </c>
      <c r="J100" s="3">
        <f t="shared" si="2"/>
        <v>45665.125</v>
      </c>
      <c r="K100" t="str">
        <f>TEXT(tblSales[[#This Row],[Date]],"ddd")</f>
        <v>Wed</v>
      </c>
      <c r="L100" s="4">
        <f t="shared" si="3"/>
        <v>3</v>
      </c>
    </row>
    <row r="101" spans="1:12" x14ac:dyDescent="0.45">
      <c r="A101" s="1">
        <v>45665</v>
      </c>
      <c r="B101" s="2">
        <v>0.29166666666666669</v>
      </c>
      <c r="C101" t="s">
        <v>25</v>
      </c>
      <c r="D101" t="s">
        <v>10</v>
      </c>
      <c r="E101">
        <v>3</v>
      </c>
      <c r="F101">
        <v>18</v>
      </c>
      <c r="G101" t="s">
        <v>14</v>
      </c>
      <c r="H101" t="s">
        <v>17</v>
      </c>
      <c r="I101">
        <v>54</v>
      </c>
      <c r="J101" s="3">
        <f t="shared" si="2"/>
        <v>45665.291666666664</v>
      </c>
      <c r="K101" t="str">
        <f>TEXT(tblSales[[#This Row],[Date]],"ddd")</f>
        <v>Wed</v>
      </c>
      <c r="L101" s="4">
        <f t="shared" si="3"/>
        <v>7</v>
      </c>
    </row>
    <row r="102" spans="1:12" x14ac:dyDescent="0.45">
      <c r="A102" s="1">
        <v>45665</v>
      </c>
      <c r="B102" s="2">
        <v>0.5</v>
      </c>
      <c r="C102" t="s">
        <v>21</v>
      </c>
      <c r="D102" t="s">
        <v>16</v>
      </c>
      <c r="E102">
        <v>2</v>
      </c>
      <c r="F102">
        <v>15</v>
      </c>
      <c r="G102" t="s">
        <v>14</v>
      </c>
      <c r="H102" t="s">
        <v>12</v>
      </c>
      <c r="I102">
        <v>30</v>
      </c>
      <c r="J102" s="3">
        <f t="shared" si="2"/>
        <v>45665.5</v>
      </c>
      <c r="K102" t="str">
        <f>TEXT(tblSales[[#This Row],[Date]],"ddd")</f>
        <v>Wed</v>
      </c>
      <c r="L102" s="4">
        <f t="shared" si="3"/>
        <v>12</v>
      </c>
    </row>
    <row r="103" spans="1:12" x14ac:dyDescent="0.45">
      <c r="A103" s="1">
        <v>45665</v>
      </c>
      <c r="B103" s="2">
        <v>0.625</v>
      </c>
      <c r="C103" t="s">
        <v>26</v>
      </c>
      <c r="D103" t="s">
        <v>10</v>
      </c>
      <c r="E103">
        <v>3</v>
      </c>
      <c r="F103">
        <v>17</v>
      </c>
      <c r="G103" t="s">
        <v>14</v>
      </c>
      <c r="H103" t="s">
        <v>12</v>
      </c>
      <c r="I103">
        <v>51</v>
      </c>
      <c r="J103" s="3">
        <f t="shared" si="2"/>
        <v>45665.625</v>
      </c>
      <c r="K103" t="str">
        <f>TEXT(tblSales[[#This Row],[Date]],"ddd")</f>
        <v>Wed</v>
      </c>
      <c r="L103" s="4">
        <f t="shared" si="3"/>
        <v>15</v>
      </c>
    </row>
    <row r="104" spans="1:12" x14ac:dyDescent="0.45">
      <c r="A104" s="1">
        <v>45665</v>
      </c>
      <c r="B104" s="2">
        <v>0.75</v>
      </c>
      <c r="C104" t="s">
        <v>26</v>
      </c>
      <c r="D104" t="s">
        <v>10</v>
      </c>
      <c r="E104">
        <v>1</v>
      </c>
      <c r="F104">
        <v>17</v>
      </c>
      <c r="G104" t="s">
        <v>11</v>
      </c>
      <c r="H104" t="s">
        <v>12</v>
      </c>
      <c r="I104">
        <v>17</v>
      </c>
      <c r="J104" s="3">
        <f t="shared" si="2"/>
        <v>45665.75</v>
      </c>
      <c r="K104" t="str">
        <f>TEXT(tblSales[[#This Row],[Date]],"ddd")</f>
        <v>Wed</v>
      </c>
      <c r="L104" s="4">
        <f t="shared" si="3"/>
        <v>18</v>
      </c>
    </row>
    <row r="105" spans="1:12" x14ac:dyDescent="0.45">
      <c r="A105" s="1">
        <v>45665</v>
      </c>
      <c r="B105" s="2">
        <v>0.79166666666666663</v>
      </c>
      <c r="C105" t="s">
        <v>26</v>
      </c>
      <c r="D105" t="s">
        <v>10</v>
      </c>
      <c r="E105">
        <v>1</v>
      </c>
      <c r="F105">
        <v>17</v>
      </c>
      <c r="G105" t="s">
        <v>14</v>
      </c>
      <c r="H105" t="s">
        <v>19</v>
      </c>
      <c r="I105">
        <v>17</v>
      </c>
      <c r="J105" s="3">
        <f t="shared" si="2"/>
        <v>45665.791666666664</v>
      </c>
      <c r="K105" t="str">
        <f>TEXT(tblSales[[#This Row],[Date]],"ddd")</f>
        <v>Wed</v>
      </c>
      <c r="L105" s="4">
        <f t="shared" si="3"/>
        <v>19</v>
      </c>
    </row>
    <row r="106" spans="1:12" x14ac:dyDescent="0.45">
      <c r="A106" s="1">
        <v>45665</v>
      </c>
      <c r="B106" s="2">
        <v>0.875</v>
      </c>
      <c r="C106" t="s">
        <v>9</v>
      </c>
      <c r="D106" t="s">
        <v>10</v>
      </c>
      <c r="E106">
        <v>3</v>
      </c>
      <c r="F106">
        <v>6</v>
      </c>
      <c r="G106" t="s">
        <v>14</v>
      </c>
      <c r="H106" t="s">
        <v>19</v>
      </c>
      <c r="I106">
        <v>18</v>
      </c>
      <c r="J106" s="3">
        <f t="shared" si="2"/>
        <v>45665.875</v>
      </c>
      <c r="K106" t="str">
        <f>TEXT(tblSales[[#This Row],[Date]],"ddd")</f>
        <v>Wed</v>
      </c>
      <c r="L106" s="4">
        <f t="shared" si="3"/>
        <v>21</v>
      </c>
    </row>
    <row r="107" spans="1:12" x14ac:dyDescent="0.45">
      <c r="A107" s="1">
        <v>45665</v>
      </c>
      <c r="B107" s="2">
        <v>0.875</v>
      </c>
      <c r="C107" t="s">
        <v>24</v>
      </c>
      <c r="D107" t="s">
        <v>16</v>
      </c>
      <c r="E107">
        <v>3</v>
      </c>
      <c r="F107">
        <v>12</v>
      </c>
      <c r="G107" t="s">
        <v>14</v>
      </c>
      <c r="H107" t="s">
        <v>19</v>
      </c>
      <c r="I107">
        <v>36</v>
      </c>
      <c r="J107" s="3">
        <f t="shared" si="2"/>
        <v>45665.875</v>
      </c>
      <c r="K107" t="str">
        <f>TEXT(tblSales[[#This Row],[Date]],"ddd")</f>
        <v>Wed</v>
      </c>
      <c r="L107" s="4">
        <f t="shared" si="3"/>
        <v>21</v>
      </c>
    </row>
    <row r="108" spans="1:12" x14ac:dyDescent="0.45">
      <c r="A108" s="1">
        <v>45665</v>
      </c>
      <c r="B108" s="2">
        <v>0.875</v>
      </c>
      <c r="C108" t="s">
        <v>25</v>
      </c>
      <c r="D108" t="s">
        <v>10</v>
      </c>
      <c r="E108">
        <v>1</v>
      </c>
      <c r="F108">
        <v>18</v>
      </c>
      <c r="G108" t="s">
        <v>14</v>
      </c>
      <c r="H108" t="s">
        <v>12</v>
      </c>
      <c r="I108">
        <v>18</v>
      </c>
      <c r="J108" s="3">
        <f t="shared" si="2"/>
        <v>45665.875</v>
      </c>
      <c r="K108" t="str">
        <f>TEXT(tblSales[[#This Row],[Date]],"ddd")</f>
        <v>Wed</v>
      </c>
      <c r="L108" s="4">
        <f t="shared" si="3"/>
        <v>21</v>
      </c>
    </row>
    <row r="109" spans="1:12" x14ac:dyDescent="0.45">
      <c r="A109" s="1">
        <v>45665</v>
      </c>
      <c r="B109" s="2">
        <v>0.91666666666666663</v>
      </c>
      <c r="C109" t="s">
        <v>22</v>
      </c>
      <c r="D109" t="s">
        <v>16</v>
      </c>
      <c r="E109">
        <v>2</v>
      </c>
      <c r="F109">
        <v>16</v>
      </c>
      <c r="G109" t="s">
        <v>14</v>
      </c>
      <c r="H109" t="s">
        <v>19</v>
      </c>
      <c r="I109">
        <v>32</v>
      </c>
      <c r="J109" s="3">
        <f t="shared" si="2"/>
        <v>45665.916666666664</v>
      </c>
      <c r="K109" t="str">
        <f>TEXT(tblSales[[#This Row],[Date]],"ddd")</f>
        <v>Wed</v>
      </c>
      <c r="L109" s="4">
        <f t="shared" si="3"/>
        <v>22</v>
      </c>
    </row>
    <row r="110" spans="1:12" x14ac:dyDescent="0.45">
      <c r="A110" s="1">
        <v>45665</v>
      </c>
      <c r="B110" s="2">
        <v>0.95833333333333337</v>
      </c>
      <c r="C110" t="s">
        <v>25</v>
      </c>
      <c r="D110" t="s">
        <v>10</v>
      </c>
      <c r="E110">
        <v>3</v>
      </c>
      <c r="F110">
        <v>18</v>
      </c>
      <c r="G110" t="s">
        <v>23</v>
      </c>
      <c r="H110" t="s">
        <v>19</v>
      </c>
      <c r="I110">
        <v>54</v>
      </c>
      <c r="J110" s="3">
        <f t="shared" si="2"/>
        <v>45665.958333333336</v>
      </c>
      <c r="K110" t="str">
        <f>TEXT(tblSales[[#This Row],[Date]],"ddd")</f>
        <v>Wed</v>
      </c>
      <c r="L110" s="4">
        <f t="shared" si="3"/>
        <v>23</v>
      </c>
    </row>
    <row r="111" spans="1:12" x14ac:dyDescent="0.45">
      <c r="A111" s="1">
        <v>45665</v>
      </c>
      <c r="B111" s="2">
        <v>0.95833333333333337</v>
      </c>
      <c r="C111" t="s">
        <v>15</v>
      </c>
      <c r="D111" t="s">
        <v>16</v>
      </c>
      <c r="E111">
        <v>1</v>
      </c>
      <c r="F111">
        <v>10</v>
      </c>
      <c r="G111" t="s">
        <v>11</v>
      </c>
      <c r="H111" t="s">
        <v>12</v>
      </c>
      <c r="I111">
        <v>10</v>
      </c>
      <c r="J111" s="3">
        <f t="shared" si="2"/>
        <v>45665.958333333336</v>
      </c>
      <c r="K111" t="str">
        <f>TEXT(tblSales[[#This Row],[Date]],"ddd")</f>
        <v>Wed</v>
      </c>
      <c r="L111" s="4">
        <f t="shared" si="3"/>
        <v>23</v>
      </c>
    </row>
    <row r="112" spans="1:12" x14ac:dyDescent="0.45">
      <c r="A112" s="1">
        <v>45666</v>
      </c>
      <c r="B112" s="2">
        <v>8.3333333333333329E-2</v>
      </c>
      <c r="C112" t="s">
        <v>18</v>
      </c>
      <c r="D112" t="s">
        <v>10</v>
      </c>
      <c r="E112">
        <v>2</v>
      </c>
      <c r="F112">
        <v>8</v>
      </c>
      <c r="G112" t="s">
        <v>11</v>
      </c>
      <c r="H112" t="s">
        <v>12</v>
      </c>
      <c r="I112">
        <v>16</v>
      </c>
      <c r="J112" s="3">
        <f t="shared" si="2"/>
        <v>45666.083333333336</v>
      </c>
      <c r="K112" t="str">
        <f>TEXT(tblSales[[#This Row],[Date]],"ddd")</f>
        <v>Thu</v>
      </c>
      <c r="L112" s="4">
        <f t="shared" si="3"/>
        <v>2</v>
      </c>
    </row>
    <row r="113" spans="1:12" x14ac:dyDescent="0.45">
      <c r="A113" s="1">
        <v>45666</v>
      </c>
      <c r="B113" s="2">
        <v>0.20833333333333334</v>
      </c>
      <c r="C113" t="s">
        <v>25</v>
      </c>
      <c r="D113" t="s">
        <v>10</v>
      </c>
      <c r="E113">
        <v>3</v>
      </c>
      <c r="F113">
        <v>18</v>
      </c>
      <c r="G113" t="s">
        <v>14</v>
      </c>
      <c r="H113" t="s">
        <v>12</v>
      </c>
      <c r="I113">
        <v>54</v>
      </c>
      <c r="J113" s="3">
        <f t="shared" si="2"/>
        <v>45666.208333333336</v>
      </c>
      <c r="K113" t="str">
        <f>TEXT(tblSales[[#This Row],[Date]],"ddd")</f>
        <v>Thu</v>
      </c>
      <c r="L113" s="4">
        <f t="shared" si="3"/>
        <v>5</v>
      </c>
    </row>
    <row r="114" spans="1:12" x14ac:dyDescent="0.45">
      <c r="A114" s="1">
        <v>45666</v>
      </c>
      <c r="B114" s="2">
        <v>0.33333333333333331</v>
      </c>
      <c r="C114" t="s">
        <v>25</v>
      </c>
      <c r="D114" t="s">
        <v>10</v>
      </c>
      <c r="E114">
        <v>1</v>
      </c>
      <c r="F114">
        <v>18</v>
      </c>
      <c r="G114" t="s">
        <v>23</v>
      </c>
      <c r="H114" t="s">
        <v>12</v>
      </c>
      <c r="I114">
        <v>18</v>
      </c>
      <c r="J114" s="3">
        <f t="shared" si="2"/>
        <v>45666.333333333336</v>
      </c>
      <c r="K114" t="str">
        <f>TEXT(tblSales[[#This Row],[Date]],"ddd")</f>
        <v>Thu</v>
      </c>
      <c r="L114" s="4">
        <f t="shared" si="3"/>
        <v>8</v>
      </c>
    </row>
    <row r="115" spans="1:12" x14ac:dyDescent="0.45">
      <c r="A115" s="1">
        <v>45666</v>
      </c>
      <c r="B115" s="2">
        <v>0.33333333333333331</v>
      </c>
      <c r="C115" t="s">
        <v>21</v>
      </c>
      <c r="D115" t="s">
        <v>16</v>
      </c>
      <c r="E115">
        <v>3</v>
      </c>
      <c r="F115">
        <v>15</v>
      </c>
      <c r="G115" t="s">
        <v>14</v>
      </c>
      <c r="H115" t="s">
        <v>17</v>
      </c>
      <c r="I115">
        <v>45</v>
      </c>
      <c r="J115" s="3">
        <f t="shared" si="2"/>
        <v>45666.333333333336</v>
      </c>
      <c r="K115" t="str">
        <f>TEXT(tblSales[[#This Row],[Date]],"ddd")</f>
        <v>Thu</v>
      </c>
      <c r="L115" s="4">
        <f t="shared" si="3"/>
        <v>8</v>
      </c>
    </row>
    <row r="116" spans="1:12" x14ac:dyDescent="0.45">
      <c r="A116" s="1">
        <v>45666</v>
      </c>
      <c r="B116" s="2">
        <v>0.375</v>
      </c>
      <c r="C116" t="s">
        <v>15</v>
      </c>
      <c r="D116" t="s">
        <v>16</v>
      </c>
      <c r="E116">
        <v>2</v>
      </c>
      <c r="F116">
        <v>10</v>
      </c>
      <c r="G116" t="s">
        <v>11</v>
      </c>
      <c r="H116" t="s">
        <v>19</v>
      </c>
      <c r="I116">
        <v>20</v>
      </c>
      <c r="J116" s="3">
        <f t="shared" si="2"/>
        <v>45666.375</v>
      </c>
      <c r="K116" t="str">
        <f>TEXT(tblSales[[#This Row],[Date]],"ddd")</f>
        <v>Thu</v>
      </c>
      <c r="L116" s="4">
        <f t="shared" si="3"/>
        <v>9</v>
      </c>
    </row>
    <row r="117" spans="1:12" x14ac:dyDescent="0.45">
      <c r="A117" s="1">
        <v>45666</v>
      </c>
      <c r="B117" s="2">
        <v>0.41666666666666669</v>
      </c>
      <c r="C117" t="s">
        <v>26</v>
      </c>
      <c r="D117" t="s">
        <v>10</v>
      </c>
      <c r="E117">
        <v>2</v>
      </c>
      <c r="F117">
        <v>17</v>
      </c>
      <c r="G117" t="s">
        <v>14</v>
      </c>
      <c r="H117" t="s">
        <v>19</v>
      </c>
      <c r="I117">
        <v>34</v>
      </c>
      <c r="J117" s="3">
        <f t="shared" si="2"/>
        <v>45666.416666666664</v>
      </c>
      <c r="K117" t="str">
        <f>TEXT(tblSales[[#This Row],[Date]],"ddd")</f>
        <v>Thu</v>
      </c>
      <c r="L117" s="4">
        <f t="shared" si="3"/>
        <v>10</v>
      </c>
    </row>
    <row r="118" spans="1:12" x14ac:dyDescent="0.45">
      <c r="A118" s="1">
        <v>45666</v>
      </c>
      <c r="B118" s="2">
        <v>0.54166666666666663</v>
      </c>
      <c r="C118" t="s">
        <v>20</v>
      </c>
      <c r="D118" t="s">
        <v>16</v>
      </c>
      <c r="E118">
        <v>1</v>
      </c>
      <c r="F118">
        <v>14</v>
      </c>
      <c r="G118" t="s">
        <v>14</v>
      </c>
      <c r="H118" t="s">
        <v>12</v>
      </c>
      <c r="I118">
        <v>14</v>
      </c>
      <c r="J118" s="3">
        <f t="shared" si="2"/>
        <v>45666.541666666664</v>
      </c>
      <c r="K118" t="str">
        <f>TEXT(tblSales[[#This Row],[Date]],"ddd")</f>
        <v>Thu</v>
      </c>
      <c r="L118" s="4">
        <f t="shared" si="3"/>
        <v>13</v>
      </c>
    </row>
    <row r="119" spans="1:12" x14ac:dyDescent="0.45">
      <c r="A119" s="1">
        <v>45666</v>
      </c>
      <c r="B119" s="2">
        <v>0.58333333333333337</v>
      </c>
      <c r="C119" t="s">
        <v>13</v>
      </c>
      <c r="D119" t="s">
        <v>10</v>
      </c>
      <c r="E119">
        <v>3</v>
      </c>
      <c r="F119">
        <v>9</v>
      </c>
      <c r="G119" t="s">
        <v>11</v>
      </c>
      <c r="H119" t="s">
        <v>19</v>
      </c>
      <c r="I119">
        <v>27</v>
      </c>
      <c r="J119" s="3">
        <f t="shared" si="2"/>
        <v>45666.583333333336</v>
      </c>
      <c r="K119" t="str">
        <f>TEXT(tblSales[[#This Row],[Date]],"ddd")</f>
        <v>Thu</v>
      </c>
      <c r="L119" s="4">
        <f t="shared" si="3"/>
        <v>14</v>
      </c>
    </row>
    <row r="120" spans="1:12" x14ac:dyDescent="0.45">
      <c r="A120" s="1">
        <v>45666</v>
      </c>
      <c r="B120" s="2">
        <v>0.625</v>
      </c>
      <c r="C120" t="s">
        <v>15</v>
      </c>
      <c r="D120" t="s">
        <v>16</v>
      </c>
      <c r="E120">
        <v>2</v>
      </c>
      <c r="F120">
        <v>10</v>
      </c>
      <c r="G120" t="s">
        <v>14</v>
      </c>
      <c r="H120" t="s">
        <v>12</v>
      </c>
      <c r="I120">
        <v>20</v>
      </c>
      <c r="J120" s="3">
        <f t="shared" si="2"/>
        <v>45666.625</v>
      </c>
      <c r="K120" t="str">
        <f>TEXT(tblSales[[#This Row],[Date]],"ddd")</f>
        <v>Thu</v>
      </c>
      <c r="L120" s="4">
        <f t="shared" si="3"/>
        <v>15</v>
      </c>
    </row>
    <row r="121" spans="1:12" x14ac:dyDescent="0.45">
      <c r="A121" s="1">
        <v>45666</v>
      </c>
      <c r="B121" s="2">
        <v>0.91666666666666663</v>
      </c>
      <c r="C121" t="s">
        <v>24</v>
      </c>
      <c r="D121" t="s">
        <v>16</v>
      </c>
      <c r="E121">
        <v>1</v>
      </c>
      <c r="F121">
        <v>12</v>
      </c>
      <c r="G121" t="s">
        <v>14</v>
      </c>
      <c r="H121" t="s">
        <v>12</v>
      </c>
      <c r="I121">
        <v>12</v>
      </c>
      <c r="J121" s="3">
        <f t="shared" si="2"/>
        <v>45666.916666666664</v>
      </c>
      <c r="K121" t="str">
        <f>TEXT(tblSales[[#This Row],[Date]],"ddd")</f>
        <v>Thu</v>
      </c>
      <c r="L121" s="4">
        <f t="shared" si="3"/>
        <v>22</v>
      </c>
    </row>
    <row r="122" spans="1:12" x14ac:dyDescent="0.45">
      <c r="A122" s="1">
        <v>45667</v>
      </c>
      <c r="B122" s="2">
        <v>0</v>
      </c>
      <c r="C122" t="s">
        <v>21</v>
      </c>
      <c r="D122" t="s">
        <v>16</v>
      </c>
      <c r="E122">
        <v>2</v>
      </c>
      <c r="F122">
        <v>15</v>
      </c>
      <c r="G122" t="s">
        <v>14</v>
      </c>
      <c r="H122" t="s">
        <v>19</v>
      </c>
      <c r="I122">
        <v>30</v>
      </c>
      <c r="J122" s="3">
        <f t="shared" si="2"/>
        <v>45667</v>
      </c>
      <c r="K122" t="str">
        <f>TEXT(tblSales[[#This Row],[Date]],"ddd")</f>
        <v>Fri</v>
      </c>
      <c r="L122" s="4">
        <f t="shared" si="3"/>
        <v>0</v>
      </c>
    </row>
    <row r="123" spans="1:12" x14ac:dyDescent="0.45">
      <c r="A123" s="1">
        <v>45667</v>
      </c>
      <c r="B123" s="2">
        <v>4.1666666666666664E-2</v>
      </c>
      <c r="C123" t="s">
        <v>21</v>
      </c>
      <c r="D123" t="s">
        <v>16</v>
      </c>
      <c r="E123">
        <v>1</v>
      </c>
      <c r="F123">
        <v>15</v>
      </c>
      <c r="G123" t="s">
        <v>14</v>
      </c>
      <c r="H123" t="s">
        <v>12</v>
      </c>
      <c r="I123">
        <v>15</v>
      </c>
      <c r="J123" s="3">
        <f t="shared" si="2"/>
        <v>45667.041666666664</v>
      </c>
      <c r="K123" t="str">
        <f>TEXT(tblSales[[#This Row],[Date]],"ddd")</f>
        <v>Fri</v>
      </c>
      <c r="L123" s="4">
        <f t="shared" si="3"/>
        <v>1</v>
      </c>
    </row>
    <row r="124" spans="1:12" x14ac:dyDescent="0.45">
      <c r="A124" s="1">
        <v>45667</v>
      </c>
      <c r="B124" s="2">
        <v>0.125</v>
      </c>
      <c r="C124" t="s">
        <v>22</v>
      </c>
      <c r="D124" t="s">
        <v>16</v>
      </c>
      <c r="E124">
        <v>1</v>
      </c>
      <c r="F124">
        <v>16</v>
      </c>
      <c r="G124" t="s">
        <v>14</v>
      </c>
      <c r="H124" t="s">
        <v>19</v>
      </c>
      <c r="I124">
        <v>16</v>
      </c>
      <c r="J124" s="3">
        <f t="shared" si="2"/>
        <v>45667.125</v>
      </c>
      <c r="K124" t="str">
        <f>TEXT(tblSales[[#This Row],[Date]],"ddd")</f>
        <v>Fri</v>
      </c>
      <c r="L124" s="4">
        <f t="shared" si="3"/>
        <v>3</v>
      </c>
    </row>
    <row r="125" spans="1:12" x14ac:dyDescent="0.45">
      <c r="A125" s="1">
        <v>45667</v>
      </c>
      <c r="B125" s="2">
        <v>0.125</v>
      </c>
      <c r="C125" t="s">
        <v>25</v>
      </c>
      <c r="D125" t="s">
        <v>10</v>
      </c>
      <c r="E125">
        <v>2</v>
      </c>
      <c r="F125">
        <v>18</v>
      </c>
      <c r="G125" t="s">
        <v>14</v>
      </c>
      <c r="H125" t="s">
        <v>12</v>
      </c>
      <c r="I125">
        <v>36</v>
      </c>
      <c r="J125" s="3">
        <f t="shared" si="2"/>
        <v>45667.125</v>
      </c>
      <c r="K125" t="str">
        <f>TEXT(tblSales[[#This Row],[Date]],"ddd")</f>
        <v>Fri</v>
      </c>
      <c r="L125" s="4">
        <f t="shared" si="3"/>
        <v>3</v>
      </c>
    </row>
    <row r="126" spans="1:12" x14ac:dyDescent="0.45">
      <c r="A126" s="1">
        <v>45667</v>
      </c>
      <c r="B126" s="2">
        <v>0.33333333333333331</v>
      </c>
      <c r="C126" t="s">
        <v>15</v>
      </c>
      <c r="D126" t="s">
        <v>16</v>
      </c>
      <c r="E126">
        <v>1</v>
      </c>
      <c r="F126">
        <v>10</v>
      </c>
      <c r="G126" t="s">
        <v>14</v>
      </c>
      <c r="H126" t="s">
        <v>17</v>
      </c>
      <c r="I126">
        <v>10</v>
      </c>
      <c r="J126" s="3">
        <f t="shared" si="2"/>
        <v>45667.333333333336</v>
      </c>
      <c r="K126" t="str">
        <f>TEXT(tblSales[[#This Row],[Date]],"ddd")</f>
        <v>Fri</v>
      </c>
      <c r="L126" s="4">
        <f t="shared" si="3"/>
        <v>8</v>
      </c>
    </row>
    <row r="127" spans="1:12" x14ac:dyDescent="0.45">
      <c r="A127" s="1">
        <v>45667</v>
      </c>
      <c r="B127" s="2">
        <v>0.33333333333333331</v>
      </c>
      <c r="C127" t="s">
        <v>22</v>
      </c>
      <c r="D127" t="s">
        <v>16</v>
      </c>
      <c r="E127">
        <v>3</v>
      </c>
      <c r="F127">
        <v>16</v>
      </c>
      <c r="G127" t="s">
        <v>23</v>
      </c>
      <c r="H127" t="s">
        <v>12</v>
      </c>
      <c r="I127">
        <v>48</v>
      </c>
      <c r="J127" s="3">
        <f t="shared" si="2"/>
        <v>45667.333333333336</v>
      </c>
      <c r="K127" t="str">
        <f>TEXT(tblSales[[#This Row],[Date]],"ddd")</f>
        <v>Fri</v>
      </c>
      <c r="L127" s="4">
        <f t="shared" si="3"/>
        <v>8</v>
      </c>
    </row>
    <row r="128" spans="1:12" x14ac:dyDescent="0.45">
      <c r="A128" s="1">
        <v>45667</v>
      </c>
      <c r="B128" s="2">
        <v>0.33333333333333331</v>
      </c>
      <c r="C128" t="s">
        <v>20</v>
      </c>
      <c r="D128" t="s">
        <v>16</v>
      </c>
      <c r="E128">
        <v>1</v>
      </c>
      <c r="F128">
        <v>14</v>
      </c>
      <c r="G128" t="s">
        <v>14</v>
      </c>
      <c r="H128" t="s">
        <v>19</v>
      </c>
      <c r="I128">
        <v>14</v>
      </c>
      <c r="J128" s="3">
        <f t="shared" si="2"/>
        <v>45667.333333333336</v>
      </c>
      <c r="K128" t="str">
        <f>TEXT(tblSales[[#This Row],[Date]],"ddd")</f>
        <v>Fri</v>
      </c>
      <c r="L128" s="4">
        <f t="shared" si="3"/>
        <v>8</v>
      </c>
    </row>
    <row r="129" spans="1:12" x14ac:dyDescent="0.45">
      <c r="A129" s="1">
        <v>45667</v>
      </c>
      <c r="B129" s="2">
        <v>0.375</v>
      </c>
      <c r="C129" t="s">
        <v>25</v>
      </c>
      <c r="D129" t="s">
        <v>10</v>
      </c>
      <c r="E129">
        <v>3</v>
      </c>
      <c r="F129">
        <v>18</v>
      </c>
      <c r="G129" t="s">
        <v>14</v>
      </c>
      <c r="H129" t="s">
        <v>12</v>
      </c>
      <c r="I129">
        <v>54</v>
      </c>
      <c r="J129" s="3">
        <f t="shared" si="2"/>
        <v>45667.375</v>
      </c>
      <c r="K129" t="str">
        <f>TEXT(tblSales[[#This Row],[Date]],"ddd")</f>
        <v>Fri</v>
      </c>
      <c r="L129" s="4">
        <f t="shared" si="3"/>
        <v>9</v>
      </c>
    </row>
    <row r="130" spans="1:12" x14ac:dyDescent="0.45">
      <c r="A130" s="1">
        <v>45667</v>
      </c>
      <c r="B130" s="2">
        <v>0.41666666666666669</v>
      </c>
      <c r="C130" t="s">
        <v>20</v>
      </c>
      <c r="D130" t="s">
        <v>16</v>
      </c>
      <c r="E130">
        <v>1</v>
      </c>
      <c r="F130">
        <v>14</v>
      </c>
      <c r="G130" t="s">
        <v>11</v>
      </c>
      <c r="H130" t="s">
        <v>12</v>
      </c>
      <c r="I130">
        <v>14</v>
      </c>
      <c r="J130" s="3">
        <f t="shared" ref="J130:J193" si="4">A130+B130</f>
        <v>45667.416666666664</v>
      </c>
      <c r="K130" t="str">
        <f>TEXT(tblSales[[#This Row],[Date]],"ddd")</f>
        <v>Fri</v>
      </c>
      <c r="L130" s="4">
        <f t="shared" ref="L130:L193" si="5" xml:space="preserve"> HOUR(B130)</f>
        <v>10</v>
      </c>
    </row>
    <row r="131" spans="1:12" x14ac:dyDescent="0.45">
      <c r="A131" s="1">
        <v>45667</v>
      </c>
      <c r="B131" s="2">
        <v>0.54166666666666663</v>
      </c>
      <c r="C131" t="s">
        <v>9</v>
      </c>
      <c r="D131" t="s">
        <v>10</v>
      </c>
      <c r="E131">
        <v>2</v>
      </c>
      <c r="F131">
        <v>6</v>
      </c>
      <c r="G131" t="s">
        <v>14</v>
      </c>
      <c r="H131" t="s">
        <v>17</v>
      </c>
      <c r="I131">
        <v>12</v>
      </c>
      <c r="J131" s="3">
        <f t="shared" si="4"/>
        <v>45667.541666666664</v>
      </c>
      <c r="K131" t="str">
        <f>TEXT(tblSales[[#This Row],[Date]],"ddd")</f>
        <v>Fri</v>
      </c>
      <c r="L131" s="4">
        <f t="shared" si="5"/>
        <v>13</v>
      </c>
    </row>
    <row r="132" spans="1:12" x14ac:dyDescent="0.45">
      <c r="A132" s="1">
        <v>45667</v>
      </c>
      <c r="B132" s="2">
        <v>0.58333333333333337</v>
      </c>
      <c r="C132" t="s">
        <v>26</v>
      </c>
      <c r="D132" t="s">
        <v>10</v>
      </c>
      <c r="E132">
        <v>2</v>
      </c>
      <c r="F132">
        <v>17</v>
      </c>
      <c r="G132" t="s">
        <v>14</v>
      </c>
      <c r="H132" t="s">
        <v>19</v>
      </c>
      <c r="I132">
        <v>34</v>
      </c>
      <c r="J132" s="3">
        <f t="shared" si="4"/>
        <v>45667.583333333336</v>
      </c>
      <c r="K132" t="str">
        <f>TEXT(tblSales[[#This Row],[Date]],"ddd")</f>
        <v>Fri</v>
      </c>
      <c r="L132" s="4">
        <f t="shared" si="5"/>
        <v>14</v>
      </c>
    </row>
    <row r="133" spans="1:12" x14ac:dyDescent="0.45">
      <c r="A133" s="1">
        <v>45667</v>
      </c>
      <c r="B133" s="2">
        <v>0.58333333333333337</v>
      </c>
      <c r="C133" t="s">
        <v>20</v>
      </c>
      <c r="D133" t="s">
        <v>16</v>
      </c>
      <c r="E133">
        <v>1</v>
      </c>
      <c r="F133">
        <v>14</v>
      </c>
      <c r="G133" t="s">
        <v>14</v>
      </c>
      <c r="H133" t="s">
        <v>19</v>
      </c>
      <c r="I133">
        <v>14</v>
      </c>
      <c r="J133" s="3">
        <f t="shared" si="4"/>
        <v>45667.583333333336</v>
      </c>
      <c r="K133" t="str">
        <f>TEXT(tblSales[[#This Row],[Date]],"ddd")</f>
        <v>Fri</v>
      </c>
      <c r="L133" s="4">
        <f t="shared" si="5"/>
        <v>14</v>
      </c>
    </row>
    <row r="134" spans="1:12" x14ac:dyDescent="0.45">
      <c r="A134" s="1">
        <v>45667</v>
      </c>
      <c r="B134" s="2">
        <v>0.58333333333333337</v>
      </c>
      <c r="C134" t="s">
        <v>15</v>
      </c>
      <c r="D134" t="s">
        <v>16</v>
      </c>
      <c r="E134">
        <v>1</v>
      </c>
      <c r="F134">
        <v>10</v>
      </c>
      <c r="G134" t="s">
        <v>14</v>
      </c>
      <c r="H134" t="s">
        <v>12</v>
      </c>
      <c r="I134">
        <v>10</v>
      </c>
      <c r="J134" s="3">
        <f t="shared" si="4"/>
        <v>45667.583333333336</v>
      </c>
      <c r="K134" t="str">
        <f>TEXT(tblSales[[#This Row],[Date]],"ddd")</f>
        <v>Fri</v>
      </c>
      <c r="L134" s="4">
        <f t="shared" si="5"/>
        <v>14</v>
      </c>
    </row>
    <row r="135" spans="1:12" x14ac:dyDescent="0.45">
      <c r="A135" s="1">
        <v>45667</v>
      </c>
      <c r="B135" s="2">
        <v>0.66666666666666663</v>
      </c>
      <c r="C135" t="s">
        <v>21</v>
      </c>
      <c r="D135" t="s">
        <v>16</v>
      </c>
      <c r="E135">
        <v>2</v>
      </c>
      <c r="F135">
        <v>15</v>
      </c>
      <c r="G135" t="s">
        <v>11</v>
      </c>
      <c r="H135" t="s">
        <v>12</v>
      </c>
      <c r="I135">
        <v>30</v>
      </c>
      <c r="J135" s="3">
        <f t="shared" si="4"/>
        <v>45667.666666666664</v>
      </c>
      <c r="K135" t="str">
        <f>TEXT(tblSales[[#This Row],[Date]],"ddd")</f>
        <v>Fri</v>
      </c>
      <c r="L135" s="4">
        <f t="shared" si="5"/>
        <v>16</v>
      </c>
    </row>
    <row r="136" spans="1:12" x14ac:dyDescent="0.45">
      <c r="A136" s="1">
        <v>45667</v>
      </c>
      <c r="B136" s="2">
        <v>0.66666666666666663</v>
      </c>
      <c r="C136" t="s">
        <v>18</v>
      </c>
      <c r="D136" t="s">
        <v>10</v>
      </c>
      <c r="E136">
        <v>3</v>
      </c>
      <c r="F136">
        <v>8</v>
      </c>
      <c r="G136" t="s">
        <v>14</v>
      </c>
      <c r="H136" t="s">
        <v>12</v>
      </c>
      <c r="I136">
        <v>24</v>
      </c>
      <c r="J136" s="3">
        <f t="shared" si="4"/>
        <v>45667.666666666664</v>
      </c>
      <c r="K136" t="str">
        <f>TEXT(tblSales[[#This Row],[Date]],"ddd")</f>
        <v>Fri</v>
      </c>
      <c r="L136" s="4">
        <f t="shared" si="5"/>
        <v>16</v>
      </c>
    </row>
    <row r="137" spans="1:12" x14ac:dyDescent="0.45">
      <c r="A137" s="1">
        <v>45667</v>
      </c>
      <c r="B137" s="2">
        <v>0.70833333333333337</v>
      </c>
      <c r="C137" t="s">
        <v>20</v>
      </c>
      <c r="D137" t="s">
        <v>16</v>
      </c>
      <c r="E137">
        <v>2</v>
      </c>
      <c r="F137">
        <v>14</v>
      </c>
      <c r="G137" t="s">
        <v>11</v>
      </c>
      <c r="H137" t="s">
        <v>19</v>
      </c>
      <c r="I137">
        <v>28</v>
      </c>
      <c r="J137" s="3">
        <f t="shared" si="4"/>
        <v>45667.708333333336</v>
      </c>
      <c r="K137" t="str">
        <f>TEXT(tblSales[[#This Row],[Date]],"ddd")</f>
        <v>Fri</v>
      </c>
      <c r="L137" s="4">
        <f t="shared" si="5"/>
        <v>17</v>
      </c>
    </row>
    <row r="138" spans="1:12" x14ac:dyDescent="0.45">
      <c r="A138" s="1">
        <v>45668</v>
      </c>
      <c r="B138" s="2">
        <v>0</v>
      </c>
      <c r="C138" t="s">
        <v>15</v>
      </c>
      <c r="D138" t="s">
        <v>16</v>
      </c>
      <c r="E138">
        <v>2</v>
      </c>
      <c r="F138">
        <v>10</v>
      </c>
      <c r="G138" t="s">
        <v>14</v>
      </c>
      <c r="H138" t="s">
        <v>19</v>
      </c>
      <c r="I138">
        <v>20</v>
      </c>
      <c r="J138" s="3">
        <f t="shared" si="4"/>
        <v>45668</v>
      </c>
      <c r="K138" t="str">
        <f>TEXT(tblSales[[#This Row],[Date]],"ddd")</f>
        <v>Sat</v>
      </c>
      <c r="L138" s="4">
        <f t="shared" si="5"/>
        <v>0</v>
      </c>
    </row>
    <row r="139" spans="1:12" x14ac:dyDescent="0.45">
      <c r="A139" s="1">
        <v>45668</v>
      </c>
      <c r="B139" s="2">
        <v>4.1666666666666664E-2</v>
      </c>
      <c r="C139" t="s">
        <v>13</v>
      </c>
      <c r="D139" t="s">
        <v>10</v>
      </c>
      <c r="E139">
        <v>1</v>
      </c>
      <c r="F139">
        <v>9</v>
      </c>
      <c r="G139" t="s">
        <v>14</v>
      </c>
      <c r="H139" t="s">
        <v>12</v>
      </c>
      <c r="I139">
        <v>9</v>
      </c>
      <c r="J139" s="3">
        <f t="shared" si="4"/>
        <v>45668.041666666664</v>
      </c>
      <c r="K139" t="str">
        <f>TEXT(tblSales[[#This Row],[Date]],"ddd")</f>
        <v>Sat</v>
      </c>
      <c r="L139" s="4">
        <f t="shared" si="5"/>
        <v>1</v>
      </c>
    </row>
    <row r="140" spans="1:12" x14ac:dyDescent="0.45">
      <c r="A140" s="1">
        <v>45668</v>
      </c>
      <c r="B140" s="2">
        <v>8.3333333333333329E-2</v>
      </c>
      <c r="C140" t="s">
        <v>18</v>
      </c>
      <c r="D140" t="s">
        <v>10</v>
      </c>
      <c r="E140">
        <v>1</v>
      </c>
      <c r="F140">
        <v>8</v>
      </c>
      <c r="G140" t="s">
        <v>11</v>
      </c>
      <c r="H140" t="s">
        <v>19</v>
      </c>
      <c r="I140">
        <v>8</v>
      </c>
      <c r="J140" s="3">
        <f t="shared" si="4"/>
        <v>45668.083333333336</v>
      </c>
      <c r="K140" t="str">
        <f>TEXT(tblSales[[#This Row],[Date]],"ddd")</f>
        <v>Sat</v>
      </c>
      <c r="L140" s="4">
        <f t="shared" si="5"/>
        <v>2</v>
      </c>
    </row>
    <row r="141" spans="1:12" x14ac:dyDescent="0.45">
      <c r="A141" s="1">
        <v>45668</v>
      </c>
      <c r="B141" s="2">
        <v>0.125</v>
      </c>
      <c r="C141" t="s">
        <v>9</v>
      </c>
      <c r="D141" t="s">
        <v>10</v>
      </c>
      <c r="E141">
        <v>1</v>
      </c>
      <c r="F141">
        <v>6</v>
      </c>
      <c r="G141" t="s">
        <v>14</v>
      </c>
      <c r="H141" t="s">
        <v>12</v>
      </c>
      <c r="I141">
        <v>6</v>
      </c>
      <c r="J141" s="3">
        <f t="shared" si="4"/>
        <v>45668.125</v>
      </c>
      <c r="K141" t="str">
        <f>TEXT(tblSales[[#This Row],[Date]],"ddd")</f>
        <v>Sat</v>
      </c>
      <c r="L141" s="4">
        <f t="shared" si="5"/>
        <v>3</v>
      </c>
    </row>
    <row r="142" spans="1:12" x14ac:dyDescent="0.45">
      <c r="A142" s="1">
        <v>45668</v>
      </c>
      <c r="B142" s="2">
        <v>0.20833333333333334</v>
      </c>
      <c r="C142" t="s">
        <v>13</v>
      </c>
      <c r="D142" t="s">
        <v>10</v>
      </c>
      <c r="E142">
        <v>1</v>
      </c>
      <c r="F142">
        <v>9</v>
      </c>
      <c r="G142" t="s">
        <v>11</v>
      </c>
      <c r="H142" t="s">
        <v>17</v>
      </c>
      <c r="I142">
        <v>9</v>
      </c>
      <c r="J142" s="3">
        <f t="shared" si="4"/>
        <v>45668.208333333336</v>
      </c>
      <c r="K142" t="str">
        <f>TEXT(tblSales[[#This Row],[Date]],"ddd")</f>
        <v>Sat</v>
      </c>
      <c r="L142" s="4">
        <f t="shared" si="5"/>
        <v>5</v>
      </c>
    </row>
    <row r="143" spans="1:12" x14ac:dyDescent="0.45">
      <c r="A143" s="1">
        <v>45668</v>
      </c>
      <c r="B143" s="2">
        <v>0.25</v>
      </c>
      <c r="C143" t="s">
        <v>25</v>
      </c>
      <c r="D143" t="s">
        <v>10</v>
      </c>
      <c r="E143">
        <v>3</v>
      </c>
      <c r="F143">
        <v>18</v>
      </c>
      <c r="G143" t="s">
        <v>14</v>
      </c>
      <c r="H143" t="s">
        <v>12</v>
      </c>
      <c r="I143">
        <v>54</v>
      </c>
      <c r="J143" s="3">
        <f t="shared" si="4"/>
        <v>45668.25</v>
      </c>
      <c r="K143" t="str">
        <f>TEXT(tblSales[[#This Row],[Date]],"ddd")</f>
        <v>Sat</v>
      </c>
      <c r="L143" s="4">
        <f t="shared" si="5"/>
        <v>6</v>
      </c>
    </row>
    <row r="144" spans="1:12" x14ac:dyDescent="0.45">
      <c r="A144" s="1">
        <v>45668</v>
      </c>
      <c r="B144" s="2">
        <v>0.45833333333333331</v>
      </c>
      <c r="C144" t="s">
        <v>24</v>
      </c>
      <c r="D144" t="s">
        <v>16</v>
      </c>
      <c r="E144">
        <v>1</v>
      </c>
      <c r="F144">
        <v>12</v>
      </c>
      <c r="G144" t="s">
        <v>14</v>
      </c>
      <c r="H144" t="s">
        <v>19</v>
      </c>
      <c r="I144">
        <v>12</v>
      </c>
      <c r="J144" s="3">
        <f t="shared" si="4"/>
        <v>45668.458333333336</v>
      </c>
      <c r="K144" t="str">
        <f>TEXT(tblSales[[#This Row],[Date]],"ddd")</f>
        <v>Sat</v>
      </c>
      <c r="L144" s="4">
        <f t="shared" si="5"/>
        <v>11</v>
      </c>
    </row>
    <row r="145" spans="1:12" x14ac:dyDescent="0.45">
      <c r="A145" s="1">
        <v>45668</v>
      </c>
      <c r="B145" s="2">
        <v>0.5</v>
      </c>
      <c r="C145" t="s">
        <v>20</v>
      </c>
      <c r="D145" t="s">
        <v>16</v>
      </c>
      <c r="E145">
        <v>2</v>
      </c>
      <c r="F145">
        <v>14</v>
      </c>
      <c r="G145" t="s">
        <v>11</v>
      </c>
      <c r="H145" t="s">
        <v>12</v>
      </c>
      <c r="I145">
        <v>28</v>
      </c>
      <c r="J145" s="3">
        <f t="shared" si="4"/>
        <v>45668.5</v>
      </c>
      <c r="K145" t="str">
        <f>TEXT(tblSales[[#This Row],[Date]],"ddd")</f>
        <v>Sat</v>
      </c>
      <c r="L145" s="4">
        <f t="shared" si="5"/>
        <v>12</v>
      </c>
    </row>
    <row r="146" spans="1:12" x14ac:dyDescent="0.45">
      <c r="A146" s="1">
        <v>45668</v>
      </c>
      <c r="B146" s="2">
        <v>0.5</v>
      </c>
      <c r="C146" t="s">
        <v>9</v>
      </c>
      <c r="D146" t="s">
        <v>10</v>
      </c>
      <c r="E146">
        <v>2</v>
      </c>
      <c r="F146">
        <v>6</v>
      </c>
      <c r="G146" t="s">
        <v>11</v>
      </c>
      <c r="H146" t="s">
        <v>19</v>
      </c>
      <c r="I146">
        <v>12</v>
      </c>
      <c r="J146" s="3">
        <f t="shared" si="4"/>
        <v>45668.5</v>
      </c>
      <c r="K146" t="str">
        <f>TEXT(tblSales[[#This Row],[Date]],"ddd")</f>
        <v>Sat</v>
      </c>
      <c r="L146" s="4">
        <f t="shared" si="5"/>
        <v>12</v>
      </c>
    </row>
    <row r="147" spans="1:12" x14ac:dyDescent="0.45">
      <c r="A147" s="1">
        <v>45668</v>
      </c>
      <c r="B147" s="2">
        <v>0.54166666666666663</v>
      </c>
      <c r="C147" t="s">
        <v>9</v>
      </c>
      <c r="D147" t="s">
        <v>10</v>
      </c>
      <c r="E147">
        <v>2</v>
      </c>
      <c r="F147">
        <v>6</v>
      </c>
      <c r="G147" t="s">
        <v>14</v>
      </c>
      <c r="H147" t="s">
        <v>17</v>
      </c>
      <c r="I147">
        <v>12</v>
      </c>
      <c r="J147" s="3">
        <f t="shared" si="4"/>
        <v>45668.541666666664</v>
      </c>
      <c r="K147" t="str">
        <f>TEXT(tblSales[[#This Row],[Date]],"ddd")</f>
        <v>Sat</v>
      </c>
      <c r="L147" s="4">
        <f t="shared" si="5"/>
        <v>13</v>
      </c>
    </row>
    <row r="148" spans="1:12" x14ac:dyDescent="0.45">
      <c r="A148" s="1">
        <v>45668</v>
      </c>
      <c r="B148" s="2">
        <v>0.54166666666666663</v>
      </c>
      <c r="C148" t="s">
        <v>25</v>
      </c>
      <c r="D148" t="s">
        <v>10</v>
      </c>
      <c r="E148">
        <v>2</v>
      </c>
      <c r="F148">
        <v>18</v>
      </c>
      <c r="G148" t="s">
        <v>11</v>
      </c>
      <c r="H148" t="s">
        <v>12</v>
      </c>
      <c r="I148">
        <v>36</v>
      </c>
      <c r="J148" s="3">
        <f t="shared" si="4"/>
        <v>45668.541666666664</v>
      </c>
      <c r="K148" t="str">
        <f>TEXT(tblSales[[#This Row],[Date]],"ddd")</f>
        <v>Sat</v>
      </c>
      <c r="L148" s="4">
        <f t="shared" si="5"/>
        <v>13</v>
      </c>
    </row>
    <row r="149" spans="1:12" x14ac:dyDescent="0.45">
      <c r="A149" s="1">
        <v>45668</v>
      </c>
      <c r="B149" s="2">
        <v>0.625</v>
      </c>
      <c r="C149" t="s">
        <v>25</v>
      </c>
      <c r="D149" t="s">
        <v>10</v>
      </c>
      <c r="E149">
        <v>3</v>
      </c>
      <c r="F149">
        <v>18</v>
      </c>
      <c r="G149" t="s">
        <v>23</v>
      </c>
      <c r="H149" t="s">
        <v>19</v>
      </c>
      <c r="I149">
        <v>54</v>
      </c>
      <c r="J149" s="3">
        <f t="shared" si="4"/>
        <v>45668.625</v>
      </c>
      <c r="K149" t="str">
        <f>TEXT(tblSales[[#This Row],[Date]],"ddd")</f>
        <v>Sat</v>
      </c>
      <c r="L149" s="4">
        <f t="shared" si="5"/>
        <v>15</v>
      </c>
    </row>
    <row r="150" spans="1:12" x14ac:dyDescent="0.45">
      <c r="A150" s="1">
        <v>45668</v>
      </c>
      <c r="B150" s="2">
        <v>0.75</v>
      </c>
      <c r="C150" t="s">
        <v>24</v>
      </c>
      <c r="D150" t="s">
        <v>16</v>
      </c>
      <c r="E150">
        <v>1</v>
      </c>
      <c r="F150">
        <v>12</v>
      </c>
      <c r="G150" t="s">
        <v>23</v>
      </c>
      <c r="H150" t="s">
        <v>19</v>
      </c>
      <c r="I150">
        <v>12</v>
      </c>
      <c r="J150" s="3">
        <f t="shared" si="4"/>
        <v>45668.75</v>
      </c>
      <c r="K150" t="str">
        <f>TEXT(tblSales[[#This Row],[Date]],"ddd")</f>
        <v>Sat</v>
      </c>
      <c r="L150" s="4">
        <f t="shared" si="5"/>
        <v>18</v>
      </c>
    </row>
    <row r="151" spans="1:12" x14ac:dyDescent="0.45">
      <c r="A151" s="1">
        <v>45668</v>
      </c>
      <c r="B151" s="2">
        <v>0.91666666666666663</v>
      </c>
      <c r="C151" t="s">
        <v>9</v>
      </c>
      <c r="D151" t="s">
        <v>10</v>
      </c>
      <c r="E151">
        <v>1</v>
      </c>
      <c r="F151">
        <v>6</v>
      </c>
      <c r="G151" t="s">
        <v>14</v>
      </c>
      <c r="H151" t="s">
        <v>19</v>
      </c>
      <c r="I151">
        <v>6</v>
      </c>
      <c r="J151" s="3">
        <f t="shared" si="4"/>
        <v>45668.916666666664</v>
      </c>
      <c r="K151" t="str">
        <f>TEXT(tblSales[[#This Row],[Date]],"ddd")</f>
        <v>Sat</v>
      </c>
      <c r="L151" s="4">
        <f t="shared" si="5"/>
        <v>22</v>
      </c>
    </row>
    <row r="152" spans="1:12" x14ac:dyDescent="0.45">
      <c r="A152" s="1">
        <v>45669</v>
      </c>
      <c r="B152" s="2">
        <v>0.125</v>
      </c>
      <c r="C152" t="s">
        <v>13</v>
      </c>
      <c r="D152" t="s">
        <v>10</v>
      </c>
      <c r="E152">
        <v>3</v>
      </c>
      <c r="F152">
        <v>9</v>
      </c>
      <c r="G152" t="s">
        <v>14</v>
      </c>
      <c r="H152" t="s">
        <v>17</v>
      </c>
      <c r="I152">
        <v>27</v>
      </c>
      <c r="J152" s="3">
        <f t="shared" si="4"/>
        <v>45669.125</v>
      </c>
      <c r="K152" t="str">
        <f>TEXT(tblSales[[#This Row],[Date]],"ddd")</f>
        <v>Sun</v>
      </c>
      <c r="L152" s="4">
        <f t="shared" si="5"/>
        <v>3</v>
      </c>
    </row>
    <row r="153" spans="1:12" x14ac:dyDescent="0.45">
      <c r="A153" s="1">
        <v>45669</v>
      </c>
      <c r="B153" s="2">
        <v>0.20833333333333334</v>
      </c>
      <c r="C153" t="s">
        <v>13</v>
      </c>
      <c r="D153" t="s">
        <v>10</v>
      </c>
      <c r="E153">
        <v>3</v>
      </c>
      <c r="F153">
        <v>9</v>
      </c>
      <c r="G153" t="s">
        <v>14</v>
      </c>
      <c r="H153" t="s">
        <v>12</v>
      </c>
      <c r="I153">
        <v>27</v>
      </c>
      <c r="J153" s="3">
        <f t="shared" si="4"/>
        <v>45669.208333333336</v>
      </c>
      <c r="K153" t="str">
        <f>TEXT(tblSales[[#This Row],[Date]],"ddd")</f>
        <v>Sun</v>
      </c>
      <c r="L153" s="4">
        <f t="shared" si="5"/>
        <v>5</v>
      </c>
    </row>
    <row r="154" spans="1:12" x14ac:dyDescent="0.45">
      <c r="A154" s="1">
        <v>45669</v>
      </c>
      <c r="B154" s="2">
        <v>0.25</v>
      </c>
      <c r="C154" t="s">
        <v>22</v>
      </c>
      <c r="D154" t="s">
        <v>16</v>
      </c>
      <c r="E154">
        <v>2</v>
      </c>
      <c r="F154">
        <v>16</v>
      </c>
      <c r="G154" t="s">
        <v>14</v>
      </c>
      <c r="H154" t="s">
        <v>12</v>
      </c>
      <c r="I154">
        <v>32</v>
      </c>
      <c r="J154" s="3">
        <f t="shared" si="4"/>
        <v>45669.25</v>
      </c>
      <c r="K154" t="str">
        <f>TEXT(tblSales[[#This Row],[Date]],"ddd")</f>
        <v>Sun</v>
      </c>
      <c r="L154" s="4">
        <f t="shared" si="5"/>
        <v>6</v>
      </c>
    </row>
    <row r="155" spans="1:12" x14ac:dyDescent="0.45">
      <c r="A155" s="1">
        <v>45669</v>
      </c>
      <c r="B155" s="2">
        <v>0.25</v>
      </c>
      <c r="C155" t="s">
        <v>26</v>
      </c>
      <c r="D155" t="s">
        <v>10</v>
      </c>
      <c r="E155">
        <v>1</v>
      </c>
      <c r="F155">
        <v>17</v>
      </c>
      <c r="G155" t="s">
        <v>14</v>
      </c>
      <c r="H155" t="s">
        <v>19</v>
      </c>
      <c r="I155">
        <v>17</v>
      </c>
      <c r="J155" s="3">
        <f t="shared" si="4"/>
        <v>45669.25</v>
      </c>
      <c r="K155" t="str">
        <f>TEXT(tblSales[[#This Row],[Date]],"ddd")</f>
        <v>Sun</v>
      </c>
      <c r="L155" s="4">
        <f t="shared" si="5"/>
        <v>6</v>
      </c>
    </row>
    <row r="156" spans="1:12" x14ac:dyDescent="0.45">
      <c r="A156" s="1">
        <v>45669</v>
      </c>
      <c r="B156" s="2">
        <v>0.375</v>
      </c>
      <c r="C156" t="s">
        <v>25</v>
      </c>
      <c r="D156" t="s">
        <v>10</v>
      </c>
      <c r="E156">
        <v>3</v>
      </c>
      <c r="F156">
        <v>18</v>
      </c>
      <c r="G156" t="s">
        <v>14</v>
      </c>
      <c r="H156" t="s">
        <v>12</v>
      </c>
      <c r="I156">
        <v>54</v>
      </c>
      <c r="J156" s="3">
        <f t="shared" si="4"/>
        <v>45669.375</v>
      </c>
      <c r="K156" t="str">
        <f>TEXT(tblSales[[#This Row],[Date]],"ddd")</f>
        <v>Sun</v>
      </c>
      <c r="L156" s="4">
        <f t="shared" si="5"/>
        <v>9</v>
      </c>
    </row>
    <row r="157" spans="1:12" x14ac:dyDescent="0.45">
      <c r="A157" s="1">
        <v>45669</v>
      </c>
      <c r="B157" s="2">
        <v>0.5</v>
      </c>
      <c r="C157" t="s">
        <v>26</v>
      </c>
      <c r="D157" t="s">
        <v>10</v>
      </c>
      <c r="E157">
        <v>2</v>
      </c>
      <c r="F157">
        <v>17</v>
      </c>
      <c r="G157" t="s">
        <v>14</v>
      </c>
      <c r="H157" t="s">
        <v>12</v>
      </c>
      <c r="I157">
        <v>34</v>
      </c>
      <c r="J157" s="3">
        <f t="shared" si="4"/>
        <v>45669.5</v>
      </c>
      <c r="K157" t="str">
        <f>TEXT(tblSales[[#This Row],[Date]],"ddd")</f>
        <v>Sun</v>
      </c>
      <c r="L157" s="4">
        <f t="shared" si="5"/>
        <v>12</v>
      </c>
    </row>
    <row r="158" spans="1:12" x14ac:dyDescent="0.45">
      <c r="A158" s="1">
        <v>45669</v>
      </c>
      <c r="B158" s="2">
        <v>0.5</v>
      </c>
      <c r="C158" t="s">
        <v>26</v>
      </c>
      <c r="D158" t="s">
        <v>10</v>
      </c>
      <c r="E158">
        <v>3</v>
      </c>
      <c r="F158">
        <v>17</v>
      </c>
      <c r="G158" t="s">
        <v>14</v>
      </c>
      <c r="H158" t="s">
        <v>19</v>
      </c>
      <c r="I158">
        <v>51</v>
      </c>
      <c r="J158" s="3">
        <f t="shared" si="4"/>
        <v>45669.5</v>
      </c>
      <c r="K158" t="str">
        <f>TEXT(tblSales[[#This Row],[Date]],"ddd")</f>
        <v>Sun</v>
      </c>
      <c r="L158" s="4">
        <f t="shared" si="5"/>
        <v>12</v>
      </c>
    </row>
    <row r="159" spans="1:12" x14ac:dyDescent="0.45">
      <c r="A159" s="1">
        <v>45669</v>
      </c>
      <c r="B159" s="2">
        <v>0.5</v>
      </c>
      <c r="C159" t="s">
        <v>13</v>
      </c>
      <c r="D159" t="s">
        <v>10</v>
      </c>
      <c r="E159">
        <v>2</v>
      </c>
      <c r="F159">
        <v>9</v>
      </c>
      <c r="G159" t="s">
        <v>14</v>
      </c>
      <c r="H159" t="s">
        <v>19</v>
      </c>
      <c r="I159">
        <v>18</v>
      </c>
      <c r="J159" s="3">
        <f t="shared" si="4"/>
        <v>45669.5</v>
      </c>
      <c r="K159" t="str">
        <f>TEXT(tblSales[[#This Row],[Date]],"ddd")</f>
        <v>Sun</v>
      </c>
      <c r="L159" s="4">
        <f t="shared" si="5"/>
        <v>12</v>
      </c>
    </row>
    <row r="160" spans="1:12" x14ac:dyDescent="0.45">
      <c r="A160" s="1">
        <v>45669</v>
      </c>
      <c r="B160" s="2">
        <v>0.625</v>
      </c>
      <c r="C160" t="s">
        <v>15</v>
      </c>
      <c r="D160" t="s">
        <v>16</v>
      </c>
      <c r="E160">
        <v>3</v>
      </c>
      <c r="F160">
        <v>10</v>
      </c>
      <c r="G160" t="s">
        <v>11</v>
      </c>
      <c r="H160" t="s">
        <v>17</v>
      </c>
      <c r="I160">
        <v>30</v>
      </c>
      <c r="J160" s="3">
        <f t="shared" si="4"/>
        <v>45669.625</v>
      </c>
      <c r="K160" t="str">
        <f>TEXT(tblSales[[#This Row],[Date]],"ddd")</f>
        <v>Sun</v>
      </c>
      <c r="L160" s="4">
        <f t="shared" si="5"/>
        <v>15</v>
      </c>
    </row>
    <row r="161" spans="1:12" x14ac:dyDescent="0.45">
      <c r="A161" s="1">
        <v>45669</v>
      </c>
      <c r="B161" s="2">
        <v>0.625</v>
      </c>
      <c r="C161" t="s">
        <v>13</v>
      </c>
      <c r="D161" t="s">
        <v>10</v>
      </c>
      <c r="E161">
        <v>1</v>
      </c>
      <c r="F161">
        <v>9</v>
      </c>
      <c r="G161" t="s">
        <v>14</v>
      </c>
      <c r="H161" t="s">
        <v>19</v>
      </c>
      <c r="I161">
        <v>9</v>
      </c>
      <c r="J161" s="3">
        <f t="shared" si="4"/>
        <v>45669.625</v>
      </c>
      <c r="K161" t="str">
        <f>TEXT(tblSales[[#This Row],[Date]],"ddd")</f>
        <v>Sun</v>
      </c>
      <c r="L161" s="4">
        <f t="shared" si="5"/>
        <v>15</v>
      </c>
    </row>
    <row r="162" spans="1:12" x14ac:dyDescent="0.45">
      <c r="A162" s="1">
        <v>45669</v>
      </c>
      <c r="B162" s="2">
        <v>0.75</v>
      </c>
      <c r="C162" t="s">
        <v>25</v>
      </c>
      <c r="D162" t="s">
        <v>10</v>
      </c>
      <c r="E162">
        <v>1</v>
      </c>
      <c r="F162">
        <v>18</v>
      </c>
      <c r="G162" t="s">
        <v>14</v>
      </c>
      <c r="H162" t="s">
        <v>19</v>
      </c>
      <c r="I162">
        <v>18</v>
      </c>
      <c r="J162" s="3">
        <f t="shared" si="4"/>
        <v>45669.75</v>
      </c>
      <c r="K162" t="str">
        <f>TEXT(tblSales[[#This Row],[Date]],"ddd")</f>
        <v>Sun</v>
      </c>
      <c r="L162" s="4">
        <f t="shared" si="5"/>
        <v>18</v>
      </c>
    </row>
    <row r="163" spans="1:12" x14ac:dyDescent="0.45">
      <c r="A163" s="1">
        <v>45669</v>
      </c>
      <c r="B163" s="2">
        <v>0.75</v>
      </c>
      <c r="C163" t="s">
        <v>13</v>
      </c>
      <c r="D163" t="s">
        <v>10</v>
      </c>
      <c r="E163">
        <v>2</v>
      </c>
      <c r="F163">
        <v>9</v>
      </c>
      <c r="G163" t="s">
        <v>11</v>
      </c>
      <c r="H163" t="s">
        <v>19</v>
      </c>
      <c r="I163">
        <v>18</v>
      </c>
      <c r="J163" s="3">
        <f t="shared" si="4"/>
        <v>45669.75</v>
      </c>
      <c r="K163" t="str">
        <f>TEXT(tblSales[[#This Row],[Date]],"ddd")</f>
        <v>Sun</v>
      </c>
      <c r="L163" s="4">
        <f t="shared" si="5"/>
        <v>18</v>
      </c>
    </row>
    <row r="164" spans="1:12" x14ac:dyDescent="0.45">
      <c r="A164" s="1">
        <v>45669</v>
      </c>
      <c r="B164" s="2">
        <v>0.79166666666666663</v>
      </c>
      <c r="C164" t="s">
        <v>18</v>
      </c>
      <c r="D164" t="s">
        <v>10</v>
      </c>
      <c r="E164">
        <v>1</v>
      </c>
      <c r="F164">
        <v>8</v>
      </c>
      <c r="G164" t="s">
        <v>23</v>
      </c>
      <c r="H164" t="s">
        <v>12</v>
      </c>
      <c r="I164">
        <v>8</v>
      </c>
      <c r="J164" s="3">
        <f t="shared" si="4"/>
        <v>45669.791666666664</v>
      </c>
      <c r="K164" t="str">
        <f>TEXT(tblSales[[#This Row],[Date]],"ddd")</f>
        <v>Sun</v>
      </c>
      <c r="L164" s="4">
        <f t="shared" si="5"/>
        <v>19</v>
      </c>
    </row>
    <row r="165" spans="1:12" x14ac:dyDescent="0.45">
      <c r="A165" s="1">
        <v>45669</v>
      </c>
      <c r="B165" s="2">
        <v>0.95833333333333337</v>
      </c>
      <c r="C165" t="s">
        <v>13</v>
      </c>
      <c r="D165" t="s">
        <v>10</v>
      </c>
      <c r="E165">
        <v>2</v>
      </c>
      <c r="F165">
        <v>9</v>
      </c>
      <c r="G165" t="s">
        <v>11</v>
      </c>
      <c r="H165" t="s">
        <v>17</v>
      </c>
      <c r="I165">
        <v>18</v>
      </c>
      <c r="J165" s="3">
        <f t="shared" si="4"/>
        <v>45669.958333333336</v>
      </c>
      <c r="K165" t="str">
        <f>TEXT(tblSales[[#This Row],[Date]],"ddd")</f>
        <v>Sun</v>
      </c>
      <c r="L165" s="4">
        <f t="shared" si="5"/>
        <v>23</v>
      </c>
    </row>
    <row r="166" spans="1:12" x14ac:dyDescent="0.45">
      <c r="A166" s="1">
        <v>45670</v>
      </c>
      <c r="B166" s="2">
        <v>0</v>
      </c>
      <c r="C166" t="s">
        <v>15</v>
      </c>
      <c r="D166" t="s">
        <v>16</v>
      </c>
      <c r="E166">
        <v>3</v>
      </c>
      <c r="F166">
        <v>10</v>
      </c>
      <c r="G166" t="s">
        <v>14</v>
      </c>
      <c r="H166" t="s">
        <v>12</v>
      </c>
      <c r="I166">
        <v>30</v>
      </c>
      <c r="J166" s="3">
        <f t="shared" si="4"/>
        <v>45670</v>
      </c>
      <c r="K166" t="str">
        <f>TEXT(tblSales[[#This Row],[Date]],"ddd")</f>
        <v>Mon</v>
      </c>
      <c r="L166" s="4">
        <f t="shared" si="5"/>
        <v>0</v>
      </c>
    </row>
    <row r="167" spans="1:12" x14ac:dyDescent="0.45">
      <c r="A167" s="1">
        <v>45670</v>
      </c>
      <c r="B167" s="2">
        <v>0.20833333333333334</v>
      </c>
      <c r="C167" t="s">
        <v>18</v>
      </c>
      <c r="D167" t="s">
        <v>10</v>
      </c>
      <c r="E167">
        <v>3</v>
      </c>
      <c r="F167">
        <v>8</v>
      </c>
      <c r="G167" t="s">
        <v>11</v>
      </c>
      <c r="H167" t="s">
        <v>17</v>
      </c>
      <c r="I167">
        <v>24</v>
      </c>
      <c r="J167" s="3">
        <f t="shared" si="4"/>
        <v>45670.208333333336</v>
      </c>
      <c r="K167" t="str">
        <f>TEXT(tblSales[[#This Row],[Date]],"ddd")</f>
        <v>Mon</v>
      </c>
      <c r="L167" s="4">
        <f t="shared" si="5"/>
        <v>5</v>
      </c>
    </row>
    <row r="168" spans="1:12" x14ac:dyDescent="0.45">
      <c r="A168" s="1">
        <v>45670</v>
      </c>
      <c r="B168" s="2">
        <v>0.29166666666666669</v>
      </c>
      <c r="C168" t="s">
        <v>15</v>
      </c>
      <c r="D168" t="s">
        <v>16</v>
      </c>
      <c r="E168">
        <v>1</v>
      </c>
      <c r="F168">
        <v>10</v>
      </c>
      <c r="G168" t="s">
        <v>14</v>
      </c>
      <c r="H168" t="s">
        <v>17</v>
      </c>
      <c r="I168">
        <v>10</v>
      </c>
      <c r="J168" s="3">
        <f t="shared" si="4"/>
        <v>45670.291666666664</v>
      </c>
      <c r="K168" t="str">
        <f>TEXT(tblSales[[#This Row],[Date]],"ddd")</f>
        <v>Mon</v>
      </c>
      <c r="L168" s="4">
        <f t="shared" si="5"/>
        <v>7</v>
      </c>
    </row>
    <row r="169" spans="1:12" x14ac:dyDescent="0.45">
      <c r="A169" s="1">
        <v>45670</v>
      </c>
      <c r="B169" s="2">
        <v>0.375</v>
      </c>
      <c r="C169" t="s">
        <v>20</v>
      </c>
      <c r="D169" t="s">
        <v>16</v>
      </c>
      <c r="E169">
        <v>2</v>
      </c>
      <c r="F169">
        <v>14</v>
      </c>
      <c r="G169" t="s">
        <v>11</v>
      </c>
      <c r="H169" t="s">
        <v>19</v>
      </c>
      <c r="I169">
        <v>28</v>
      </c>
      <c r="J169" s="3">
        <f t="shared" si="4"/>
        <v>45670.375</v>
      </c>
      <c r="K169" t="str">
        <f>TEXT(tblSales[[#This Row],[Date]],"ddd")</f>
        <v>Mon</v>
      </c>
      <c r="L169" s="4">
        <f t="shared" si="5"/>
        <v>9</v>
      </c>
    </row>
    <row r="170" spans="1:12" x14ac:dyDescent="0.45">
      <c r="A170" s="1">
        <v>45670</v>
      </c>
      <c r="B170" s="2">
        <v>0.54166666666666663</v>
      </c>
      <c r="C170" t="s">
        <v>21</v>
      </c>
      <c r="D170" t="s">
        <v>16</v>
      </c>
      <c r="E170">
        <v>2</v>
      </c>
      <c r="F170">
        <v>15</v>
      </c>
      <c r="G170" t="s">
        <v>14</v>
      </c>
      <c r="H170" t="s">
        <v>19</v>
      </c>
      <c r="I170">
        <v>30</v>
      </c>
      <c r="J170" s="3">
        <f t="shared" si="4"/>
        <v>45670.541666666664</v>
      </c>
      <c r="K170" t="str">
        <f>TEXT(tblSales[[#This Row],[Date]],"ddd")</f>
        <v>Mon</v>
      </c>
      <c r="L170" s="4">
        <f t="shared" si="5"/>
        <v>13</v>
      </c>
    </row>
    <row r="171" spans="1:12" x14ac:dyDescent="0.45">
      <c r="A171" s="1">
        <v>45670</v>
      </c>
      <c r="B171" s="2">
        <v>0.625</v>
      </c>
      <c r="C171" t="s">
        <v>13</v>
      </c>
      <c r="D171" t="s">
        <v>10</v>
      </c>
      <c r="E171">
        <v>3</v>
      </c>
      <c r="F171">
        <v>9</v>
      </c>
      <c r="G171" t="s">
        <v>11</v>
      </c>
      <c r="H171" t="s">
        <v>12</v>
      </c>
      <c r="I171">
        <v>27</v>
      </c>
      <c r="J171" s="3">
        <f t="shared" si="4"/>
        <v>45670.625</v>
      </c>
      <c r="K171" t="str">
        <f>TEXT(tblSales[[#This Row],[Date]],"ddd")</f>
        <v>Mon</v>
      </c>
      <c r="L171" s="4">
        <f t="shared" si="5"/>
        <v>15</v>
      </c>
    </row>
    <row r="172" spans="1:12" x14ac:dyDescent="0.45">
      <c r="A172" s="1">
        <v>45670</v>
      </c>
      <c r="B172" s="2">
        <v>0.83333333333333337</v>
      </c>
      <c r="C172" t="s">
        <v>18</v>
      </c>
      <c r="D172" t="s">
        <v>10</v>
      </c>
      <c r="E172">
        <v>3</v>
      </c>
      <c r="F172">
        <v>8</v>
      </c>
      <c r="G172" t="s">
        <v>14</v>
      </c>
      <c r="H172" t="s">
        <v>12</v>
      </c>
      <c r="I172">
        <v>24</v>
      </c>
      <c r="J172" s="3">
        <f t="shared" si="4"/>
        <v>45670.833333333336</v>
      </c>
      <c r="K172" t="str">
        <f>TEXT(tblSales[[#This Row],[Date]],"ddd")</f>
        <v>Mon</v>
      </c>
      <c r="L172" s="4">
        <f t="shared" si="5"/>
        <v>20</v>
      </c>
    </row>
    <row r="173" spans="1:12" x14ac:dyDescent="0.45">
      <c r="A173" s="1">
        <v>45671</v>
      </c>
      <c r="B173" s="2">
        <v>4.1666666666666664E-2</v>
      </c>
      <c r="C173" t="s">
        <v>20</v>
      </c>
      <c r="D173" t="s">
        <v>16</v>
      </c>
      <c r="E173">
        <v>2</v>
      </c>
      <c r="F173">
        <v>14</v>
      </c>
      <c r="G173" t="s">
        <v>14</v>
      </c>
      <c r="H173" t="s">
        <v>17</v>
      </c>
      <c r="I173">
        <v>28</v>
      </c>
      <c r="J173" s="3">
        <f t="shared" si="4"/>
        <v>45671.041666666664</v>
      </c>
      <c r="K173" t="str">
        <f>TEXT(tblSales[[#This Row],[Date]],"ddd")</f>
        <v>Tue</v>
      </c>
      <c r="L173" s="4">
        <f t="shared" si="5"/>
        <v>1</v>
      </c>
    </row>
    <row r="174" spans="1:12" x14ac:dyDescent="0.45">
      <c r="A174" s="1">
        <v>45671</v>
      </c>
      <c r="B174" s="2">
        <v>0.125</v>
      </c>
      <c r="C174" t="s">
        <v>18</v>
      </c>
      <c r="D174" t="s">
        <v>10</v>
      </c>
      <c r="E174">
        <v>2</v>
      </c>
      <c r="F174">
        <v>8</v>
      </c>
      <c r="G174" t="s">
        <v>14</v>
      </c>
      <c r="H174" t="s">
        <v>19</v>
      </c>
      <c r="I174">
        <v>16</v>
      </c>
      <c r="J174" s="3">
        <f t="shared" si="4"/>
        <v>45671.125</v>
      </c>
      <c r="K174" t="str">
        <f>TEXT(tblSales[[#This Row],[Date]],"ddd")</f>
        <v>Tue</v>
      </c>
      <c r="L174" s="4">
        <f t="shared" si="5"/>
        <v>3</v>
      </c>
    </row>
    <row r="175" spans="1:12" x14ac:dyDescent="0.45">
      <c r="A175" s="1">
        <v>45671</v>
      </c>
      <c r="B175" s="2">
        <v>0.20833333333333334</v>
      </c>
      <c r="C175" t="s">
        <v>26</v>
      </c>
      <c r="D175" t="s">
        <v>10</v>
      </c>
      <c r="E175">
        <v>3</v>
      </c>
      <c r="F175">
        <v>17</v>
      </c>
      <c r="G175" t="s">
        <v>11</v>
      </c>
      <c r="H175" t="s">
        <v>12</v>
      </c>
      <c r="I175">
        <v>51</v>
      </c>
      <c r="J175" s="3">
        <f t="shared" si="4"/>
        <v>45671.208333333336</v>
      </c>
      <c r="K175" t="str">
        <f>TEXT(tblSales[[#This Row],[Date]],"ddd")</f>
        <v>Tue</v>
      </c>
      <c r="L175" s="4">
        <f t="shared" si="5"/>
        <v>5</v>
      </c>
    </row>
    <row r="176" spans="1:12" x14ac:dyDescent="0.45">
      <c r="A176" s="1">
        <v>45671</v>
      </c>
      <c r="B176" s="2">
        <v>0.33333333333333331</v>
      </c>
      <c r="C176" t="s">
        <v>25</v>
      </c>
      <c r="D176" t="s">
        <v>10</v>
      </c>
      <c r="E176">
        <v>2</v>
      </c>
      <c r="F176">
        <v>18</v>
      </c>
      <c r="G176" t="s">
        <v>14</v>
      </c>
      <c r="H176" t="s">
        <v>19</v>
      </c>
      <c r="I176">
        <v>36</v>
      </c>
      <c r="J176" s="3">
        <f t="shared" si="4"/>
        <v>45671.333333333336</v>
      </c>
      <c r="K176" t="str">
        <f>TEXT(tblSales[[#This Row],[Date]],"ddd")</f>
        <v>Tue</v>
      </c>
      <c r="L176" s="4">
        <f t="shared" si="5"/>
        <v>8</v>
      </c>
    </row>
    <row r="177" spans="1:12" x14ac:dyDescent="0.45">
      <c r="A177" s="1">
        <v>45671</v>
      </c>
      <c r="B177" s="2">
        <v>0.41666666666666669</v>
      </c>
      <c r="C177" t="s">
        <v>20</v>
      </c>
      <c r="D177" t="s">
        <v>16</v>
      </c>
      <c r="E177">
        <v>1</v>
      </c>
      <c r="F177">
        <v>14</v>
      </c>
      <c r="G177" t="s">
        <v>14</v>
      </c>
      <c r="H177" t="s">
        <v>19</v>
      </c>
      <c r="I177">
        <v>14</v>
      </c>
      <c r="J177" s="3">
        <f t="shared" si="4"/>
        <v>45671.416666666664</v>
      </c>
      <c r="K177" t="str">
        <f>TEXT(tblSales[[#This Row],[Date]],"ddd")</f>
        <v>Tue</v>
      </c>
      <c r="L177" s="4">
        <f t="shared" si="5"/>
        <v>10</v>
      </c>
    </row>
    <row r="178" spans="1:12" x14ac:dyDescent="0.45">
      <c r="A178" s="1">
        <v>45671</v>
      </c>
      <c r="B178" s="2">
        <v>0.41666666666666669</v>
      </c>
      <c r="C178" t="s">
        <v>20</v>
      </c>
      <c r="D178" t="s">
        <v>16</v>
      </c>
      <c r="E178">
        <v>2</v>
      </c>
      <c r="F178">
        <v>14</v>
      </c>
      <c r="G178" t="s">
        <v>14</v>
      </c>
      <c r="H178" t="s">
        <v>17</v>
      </c>
      <c r="I178">
        <v>28</v>
      </c>
      <c r="J178" s="3">
        <f t="shared" si="4"/>
        <v>45671.416666666664</v>
      </c>
      <c r="K178" t="str">
        <f>TEXT(tblSales[[#This Row],[Date]],"ddd")</f>
        <v>Tue</v>
      </c>
      <c r="L178" s="4">
        <f t="shared" si="5"/>
        <v>10</v>
      </c>
    </row>
    <row r="179" spans="1:12" x14ac:dyDescent="0.45">
      <c r="A179" s="1">
        <v>45671</v>
      </c>
      <c r="B179" s="2">
        <v>0.54166666666666663</v>
      </c>
      <c r="C179" t="s">
        <v>24</v>
      </c>
      <c r="D179" t="s">
        <v>16</v>
      </c>
      <c r="E179">
        <v>1</v>
      </c>
      <c r="F179">
        <v>12</v>
      </c>
      <c r="G179" t="s">
        <v>11</v>
      </c>
      <c r="H179" t="s">
        <v>19</v>
      </c>
      <c r="I179">
        <v>12</v>
      </c>
      <c r="J179" s="3">
        <f t="shared" si="4"/>
        <v>45671.541666666664</v>
      </c>
      <c r="K179" t="str">
        <f>TEXT(tblSales[[#This Row],[Date]],"ddd")</f>
        <v>Tue</v>
      </c>
      <c r="L179" s="4">
        <f t="shared" si="5"/>
        <v>13</v>
      </c>
    </row>
    <row r="180" spans="1:12" x14ac:dyDescent="0.45">
      <c r="A180" s="1">
        <v>45671</v>
      </c>
      <c r="B180" s="2">
        <v>0.75</v>
      </c>
      <c r="C180" t="s">
        <v>18</v>
      </c>
      <c r="D180" t="s">
        <v>10</v>
      </c>
      <c r="E180">
        <v>2</v>
      </c>
      <c r="F180">
        <v>8</v>
      </c>
      <c r="G180" t="s">
        <v>11</v>
      </c>
      <c r="H180" t="s">
        <v>12</v>
      </c>
      <c r="I180">
        <v>16</v>
      </c>
      <c r="J180" s="3">
        <f t="shared" si="4"/>
        <v>45671.75</v>
      </c>
      <c r="K180" t="str">
        <f>TEXT(tblSales[[#This Row],[Date]],"ddd")</f>
        <v>Tue</v>
      </c>
      <c r="L180" s="4">
        <f t="shared" si="5"/>
        <v>18</v>
      </c>
    </row>
    <row r="181" spans="1:12" x14ac:dyDescent="0.45">
      <c r="A181" s="1">
        <v>45671</v>
      </c>
      <c r="B181" s="2">
        <v>0.75</v>
      </c>
      <c r="C181" t="s">
        <v>18</v>
      </c>
      <c r="D181" t="s">
        <v>10</v>
      </c>
      <c r="E181">
        <v>1</v>
      </c>
      <c r="F181">
        <v>8</v>
      </c>
      <c r="G181" t="s">
        <v>11</v>
      </c>
      <c r="H181" t="s">
        <v>12</v>
      </c>
      <c r="I181">
        <v>8</v>
      </c>
      <c r="J181" s="3">
        <f t="shared" si="4"/>
        <v>45671.75</v>
      </c>
      <c r="K181" t="str">
        <f>TEXT(tblSales[[#This Row],[Date]],"ddd")</f>
        <v>Tue</v>
      </c>
      <c r="L181" s="4">
        <f t="shared" si="5"/>
        <v>18</v>
      </c>
    </row>
    <row r="182" spans="1:12" x14ac:dyDescent="0.45">
      <c r="A182" s="1">
        <v>45672</v>
      </c>
      <c r="B182" s="2">
        <v>4.1666666666666664E-2</v>
      </c>
      <c r="C182" t="s">
        <v>24</v>
      </c>
      <c r="D182" t="s">
        <v>16</v>
      </c>
      <c r="E182">
        <v>1</v>
      </c>
      <c r="F182">
        <v>12</v>
      </c>
      <c r="G182" t="s">
        <v>14</v>
      </c>
      <c r="H182" t="s">
        <v>17</v>
      </c>
      <c r="I182">
        <v>12</v>
      </c>
      <c r="J182" s="3">
        <f t="shared" si="4"/>
        <v>45672.041666666664</v>
      </c>
      <c r="K182" t="str">
        <f>TEXT(tblSales[[#This Row],[Date]],"ddd")</f>
        <v>Wed</v>
      </c>
      <c r="L182" s="4">
        <f t="shared" si="5"/>
        <v>1</v>
      </c>
    </row>
    <row r="183" spans="1:12" x14ac:dyDescent="0.45">
      <c r="A183" s="1">
        <v>45672</v>
      </c>
      <c r="B183" s="2">
        <v>4.1666666666666664E-2</v>
      </c>
      <c r="C183" t="s">
        <v>22</v>
      </c>
      <c r="D183" t="s">
        <v>16</v>
      </c>
      <c r="E183">
        <v>3</v>
      </c>
      <c r="F183">
        <v>16</v>
      </c>
      <c r="G183" t="s">
        <v>11</v>
      </c>
      <c r="H183" t="s">
        <v>12</v>
      </c>
      <c r="I183">
        <v>48</v>
      </c>
      <c r="J183" s="3">
        <f t="shared" si="4"/>
        <v>45672.041666666664</v>
      </c>
      <c r="K183" t="str">
        <f>TEXT(tblSales[[#This Row],[Date]],"ddd")</f>
        <v>Wed</v>
      </c>
      <c r="L183" s="4">
        <f t="shared" si="5"/>
        <v>1</v>
      </c>
    </row>
    <row r="184" spans="1:12" x14ac:dyDescent="0.45">
      <c r="A184" s="1">
        <v>45672</v>
      </c>
      <c r="B184" s="2">
        <v>4.1666666666666664E-2</v>
      </c>
      <c r="C184" t="s">
        <v>18</v>
      </c>
      <c r="D184" t="s">
        <v>10</v>
      </c>
      <c r="E184">
        <v>3</v>
      </c>
      <c r="F184">
        <v>8</v>
      </c>
      <c r="G184" t="s">
        <v>11</v>
      </c>
      <c r="H184" t="s">
        <v>19</v>
      </c>
      <c r="I184">
        <v>24</v>
      </c>
      <c r="J184" s="3">
        <f t="shared" si="4"/>
        <v>45672.041666666664</v>
      </c>
      <c r="K184" t="str">
        <f>TEXT(tblSales[[#This Row],[Date]],"ddd")</f>
        <v>Wed</v>
      </c>
      <c r="L184" s="4">
        <f t="shared" si="5"/>
        <v>1</v>
      </c>
    </row>
    <row r="185" spans="1:12" x14ac:dyDescent="0.45">
      <c r="A185" s="1">
        <v>45672</v>
      </c>
      <c r="B185" s="2">
        <v>0.125</v>
      </c>
      <c r="C185" t="s">
        <v>13</v>
      </c>
      <c r="D185" t="s">
        <v>10</v>
      </c>
      <c r="E185">
        <v>2</v>
      </c>
      <c r="F185">
        <v>9</v>
      </c>
      <c r="G185" t="s">
        <v>14</v>
      </c>
      <c r="H185" t="s">
        <v>17</v>
      </c>
      <c r="I185">
        <v>18</v>
      </c>
      <c r="J185" s="3">
        <f t="shared" si="4"/>
        <v>45672.125</v>
      </c>
      <c r="K185" t="str">
        <f>TEXT(tblSales[[#This Row],[Date]],"ddd")</f>
        <v>Wed</v>
      </c>
      <c r="L185" s="4">
        <f t="shared" si="5"/>
        <v>3</v>
      </c>
    </row>
    <row r="186" spans="1:12" x14ac:dyDescent="0.45">
      <c r="A186" s="1">
        <v>45672</v>
      </c>
      <c r="B186" s="2">
        <v>0.125</v>
      </c>
      <c r="C186" t="s">
        <v>20</v>
      </c>
      <c r="D186" t="s">
        <v>16</v>
      </c>
      <c r="E186">
        <v>2</v>
      </c>
      <c r="F186">
        <v>14</v>
      </c>
      <c r="G186" t="s">
        <v>14</v>
      </c>
      <c r="H186" t="s">
        <v>12</v>
      </c>
      <c r="I186">
        <v>28</v>
      </c>
      <c r="J186" s="3">
        <f t="shared" si="4"/>
        <v>45672.125</v>
      </c>
      <c r="K186" t="str">
        <f>TEXT(tblSales[[#This Row],[Date]],"ddd")</f>
        <v>Wed</v>
      </c>
      <c r="L186" s="4">
        <f t="shared" si="5"/>
        <v>3</v>
      </c>
    </row>
    <row r="187" spans="1:12" x14ac:dyDescent="0.45">
      <c r="A187" s="1">
        <v>45672</v>
      </c>
      <c r="B187" s="2">
        <v>0.29166666666666669</v>
      </c>
      <c r="C187" t="s">
        <v>9</v>
      </c>
      <c r="D187" t="s">
        <v>10</v>
      </c>
      <c r="E187">
        <v>2</v>
      </c>
      <c r="F187">
        <v>6</v>
      </c>
      <c r="G187" t="s">
        <v>14</v>
      </c>
      <c r="H187" t="s">
        <v>17</v>
      </c>
      <c r="I187">
        <v>12</v>
      </c>
      <c r="J187" s="3">
        <f t="shared" si="4"/>
        <v>45672.291666666664</v>
      </c>
      <c r="K187" t="str">
        <f>TEXT(tblSales[[#This Row],[Date]],"ddd")</f>
        <v>Wed</v>
      </c>
      <c r="L187" s="4">
        <f t="shared" si="5"/>
        <v>7</v>
      </c>
    </row>
    <row r="188" spans="1:12" x14ac:dyDescent="0.45">
      <c r="A188" s="1">
        <v>45672</v>
      </c>
      <c r="B188" s="2">
        <v>0.29166666666666669</v>
      </c>
      <c r="C188" t="s">
        <v>15</v>
      </c>
      <c r="D188" t="s">
        <v>16</v>
      </c>
      <c r="E188">
        <v>2</v>
      </c>
      <c r="F188">
        <v>10</v>
      </c>
      <c r="G188" t="s">
        <v>11</v>
      </c>
      <c r="H188" t="s">
        <v>12</v>
      </c>
      <c r="I188">
        <v>20</v>
      </c>
      <c r="J188" s="3">
        <f t="shared" si="4"/>
        <v>45672.291666666664</v>
      </c>
      <c r="K188" t="str">
        <f>TEXT(tblSales[[#This Row],[Date]],"ddd")</f>
        <v>Wed</v>
      </c>
      <c r="L188" s="4">
        <f t="shared" si="5"/>
        <v>7</v>
      </c>
    </row>
    <row r="189" spans="1:12" x14ac:dyDescent="0.45">
      <c r="A189" s="1">
        <v>45672</v>
      </c>
      <c r="B189" s="2">
        <v>0.375</v>
      </c>
      <c r="C189" t="s">
        <v>25</v>
      </c>
      <c r="D189" t="s">
        <v>10</v>
      </c>
      <c r="E189">
        <v>2</v>
      </c>
      <c r="F189">
        <v>18</v>
      </c>
      <c r="G189" t="s">
        <v>14</v>
      </c>
      <c r="H189" t="s">
        <v>12</v>
      </c>
      <c r="I189">
        <v>36</v>
      </c>
      <c r="J189" s="3">
        <f t="shared" si="4"/>
        <v>45672.375</v>
      </c>
      <c r="K189" t="str">
        <f>TEXT(tblSales[[#This Row],[Date]],"ddd")</f>
        <v>Wed</v>
      </c>
      <c r="L189" s="4">
        <f t="shared" si="5"/>
        <v>9</v>
      </c>
    </row>
    <row r="190" spans="1:12" x14ac:dyDescent="0.45">
      <c r="A190" s="1">
        <v>45672</v>
      </c>
      <c r="B190" s="2">
        <v>0.375</v>
      </c>
      <c r="C190" t="s">
        <v>13</v>
      </c>
      <c r="D190" t="s">
        <v>10</v>
      </c>
      <c r="E190">
        <v>2</v>
      </c>
      <c r="F190">
        <v>9</v>
      </c>
      <c r="G190" t="s">
        <v>14</v>
      </c>
      <c r="H190" t="s">
        <v>17</v>
      </c>
      <c r="I190">
        <v>18</v>
      </c>
      <c r="J190" s="3">
        <f t="shared" si="4"/>
        <v>45672.375</v>
      </c>
      <c r="K190" t="str">
        <f>TEXT(tblSales[[#This Row],[Date]],"ddd")</f>
        <v>Wed</v>
      </c>
      <c r="L190" s="4">
        <f t="shared" si="5"/>
        <v>9</v>
      </c>
    </row>
    <row r="191" spans="1:12" x14ac:dyDescent="0.45">
      <c r="A191" s="1">
        <v>45672</v>
      </c>
      <c r="B191" s="2">
        <v>0.375</v>
      </c>
      <c r="C191" t="s">
        <v>9</v>
      </c>
      <c r="D191" t="s">
        <v>10</v>
      </c>
      <c r="E191">
        <v>1</v>
      </c>
      <c r="F191">
        <v>6</v>
      </c>
      <c r="G191" t="s">
        <v>11</v>
      </c>
      <c r="H191" t="s">
        <v>12</v>
      </c>
      <c r="I191">
        <v>6</v>
      </c>
      <c r="J191" s="3">
        <f t="shared" si="4"/>
        <v>45672.375</v>
      </c>
      <c r="K191" t="str">
        <f>TEXT(tblSales[[#This Row],[Date]],"ddd")</f>
        <v>Wed</v>
      </c>
      <c r="L191" s="4">
        <f t="shared" si="5"/>
        <v>9</v>
      </c>
    </row>
    <row r="192" spans="1:12" x14ac:dyDescent="0.45">
      <c r="A192" s="1">
        <v>45672</v>
      </c>
      <c r="B192" s="2">
        <v>0.45833333333333331</v>
      </c>
      <c r="C192" t="s">
        <v>13</v>
      </c>
      <c r="D192" t="s">
        <v>10</v>
      </c>
      <c r="E192">
        <v>2</v>
      </c>
      <c r="F192">
        <v>9</v>
      </c>
      <c r="G192" t="s">
        <v>14</v>
      </c>
      <c r="H192" t="s">
        <v>17</v>
      </c>
      <c r="I192">
        <v>18</v>
      </c>
      <c r="J192" s="3">
        <f t="shared" si="4"/>
        <v>45672.458333333336</v>
      </c>
      <c r="K192" t="str">
        <f>TEXT(tblSales[[#This Row],[Date]],"ddd")</f>
        <v>Wed</v>
      </c>
      <c r="L192" s="4">
        <f t="shared" si="5"/>
        <v>11</v>
      </c>
    </row>
    <row r="193" spans="1:12" x14ac:dyDescent="0.45">
      <c r="A193" s="1">
        <v>45672</v>
      </c>
      <c r="B193" s="2">
        <v>0.5</v>
      </c>
      <c r="C193" t="s">
        <v>26</v>
      </c>
      <c r="D193" t="s">
        <v>10</v>
      </c>
      <c r="E193">
        <v>2</v>
      </c>
      <c r="F193">
        <v>17</v>
      </c>
      <c r="G193" t="s">
        <v>11</v>
      </c>
      <c r="H193" t="s">
        <v>19</v>
      </c>
      <c r="I193">
        <v>34</v>
      </c>
      <c r="J193" s="3">
        <f t="shared" si="4"/>
        <v>45672.5</v>
      </c>
      <c r="K193" t="str">
        <f>TEXT(tblSales[[#This Row],[Date]],"ddd")</f>
        <v>Wed</v>
      </c>
      <c r="L193" s="4">
        <f t="shared" si="5"/>
        <v>12</v>
      </c>
    </row>
    <row r="194" spans="1:12" x14ac:dyDescent="0.45">
      <c r="A194" s="1">
        <v>45672</v>
      </c>
      <c r="B194" s="2">
        <v>0.5</v>
      </c>
      <c r="C194" t="s">
        <v>13</v>
      </c>
      <c r="D194" t="s">
        <v>10</v>
      </c>
      <c r="E194">
        <v>2</v>
      </c>
      <c r="F194">
        <v>9</v>
      </c>
      <c r="G194" t="s">
        <v>14</v>
      </c>
      <c r="H194" t="s">
        <v>12</v>
      </c>
      <c r="I194">
        <v>18</v>
      </c>
      <c r="J194" s="3">
        <f t="shared" ref="J194:J257" si="6">A194+B194</f>
        <v>45672.5</v>
      </c>
      <c r="K194" t="str">
        <f>TEXT(tblSales[[#This Row],[Date]],"ddd")</f>
        <v>Wed</v>
      </c>
      <c r="L194" s="4">
        <f t="shared" ref="L194:L257" si="7" xml:space="preserve"> HOUR(B194)</f>
        <v>12</v>
      </c>
    </row>
    <row r="195" spans="1:12" x14ac:dyDescent="0.45">
      <c r="A195" s="1">
        <v>45672</v>
      </c>
      <c r="B195" s="2">
        <v>0.70833333333333337</v>
      </c>
      <c r="C195" t="s">
        <v>13</v>
      </c>
      <c r="D195" t="s">
        <v>10</v>
      </c>
      <c r="E195">
        <v>1</v>
      </c>
      <c r="F195">
        <v>9</v>
      </c>
      <c r="G195" t="s">
        <v>11</v>
      </c>
      <c r="H195" t="s">
        <v>12</v>
      </c>
      <c r="I195">
        <v>9</v>
      </c>
      <c r="J195" s="3">
        <f t="shared" si="6"/>
        <v>45672.708333333336</v>
      </c>
      <c r="K195" t="str">
        <f>TEXT(tblSales[[#This Row],[Date]],"ddd")</f>
        <v>Wed</v>
      </c>
      <c r="L195" s="4">
        <f t="shared" si="7"/>
        <v>17</v>
      </c>
    </row>
    <row r="196" spans="1:12" x14ac:dyDescent="0.45">
      <c r="A196" s="1">
        <v>45672</v>
      </c>
      <c r="B196" s="2">
        <v>0.91666666666666663</v>
      </c>
      <c r="C196" t="s">
        <v>25</v>
      </c>
      <c r="D196" t="s">
        <v>10</v>
      </c>
      <c r="E196">
        <v>2</v>
      </c>
      <c r="F196">
        <v>18</v>
      </c>
      <c r="G196" t="s">
        <v>14</v>
      </c>
      <c r="H196" t="s">
        <v>19</v>
      </c>
      <c r="I196">
        <v>36</v>
      </c>
      <c r="J196" s="3">
        <f t="shared" si="6"/>
        <v>45672.916666666664</v>
      </c>
      <c r="K196" t="str">
        <f>TEXT(tblSales[[#This Row],[Date]],"ddd")</f>
        <v>Wed</v>
      </c>
      <c r="L196" s="4">
        <f t="shared" si="7"/>
        <v>22</v>
      </c>
    </row>
    <row r="197" spans="1:12" x14ac:dyDescent="0.45">
      <c r="A197" s="1">
        <v>45673</v>
      </c>
      <c r="B197" s="2">
        <v>0.16666666666666666</v>
      </c>
      <c r="C197" t="s">
        <v>18</v>
      </c>
      <c r="D197" t="s">
        <v>10</v>
      </c>
      <c r="E197">
        <v>2</v>
      </c>
      <c r="F197">
        <v>8</v>
      </c>
      <c r="G197" t="s">
        <v>23</v>
      </c>
      <c r="H197" t="s">
        <v>19</v>
      </c>
      <c r="I197">
        <v>16</v>
      </c>
      <c r="J197" s="3">
        <f t="shared" si="6"/>
        <v>45673.166666666664</v>
      </c>
      <c r="K197" t="str">
        <f>TEXT(tblSales[[#This Row],[Date]],"ddd")</f>
        <v>Thu</v>
      </c>
      <c r="L197" s="4">
        <f t="shared" si="7"/>
        <v>4</v>
      </c>
    </row>
    <row r="198" spans="1:12" x14ac:dyDescent="0.45">
      <c r="A198" s="1">
        <v>45673</v>
      </c>
      <c r="B198" s="2">
        <v>0.25</v>
      </c>
      <c r="C198" t="s">
        <v>9</v>
      </c>
      <c r="D198" t="s">
        <v>10</v>
      </c>
      <c r="E198">
        <v>2</v>
      </c>
      <c r="F198">
        <v>6</v>
      </c>
      <c r="G198" t="s">
        <v>11</v>
      </c>
      <c r="H198" t="s">
        <v>12</v>
      </c>
      <c r="I198">
        <v>12</v>
      </c>
      <c r="J198" s="3">
        <f t="shared" si="6"/>
        <v>45673.25</v>
      </c>
      <c r="K198" t="str">
        <f>TEXT(tblSales[[#This Row],[Date]],"ddd")</f>
        <v>Thu</v>
      </c>
      <c r="L198" s="4">
        <f t="shared" si="7"/>
        <v>6</v>
      </c>
    </row>
    <row r="199" spans="1:12" x14ac:dyDescent="0.45">
      <c r="A199" s="1">
        <v>45673</v>
      </c>
      <c r="B199" s="2">
        <v>0.5</v>
      </c>
      <c r="C199" t="s">
        <v>15</v>
      </c>
      <c r="D199" t="s">
        <v>16</v>
      </c>
      <c r="E199">
        <v>3</v>
      </c>
      <c r="F199">
        <v>10</v>
      </c>
      <c r="G199" t="s">
        <v>11</v>
      </c>
      <c r="H199" t="s">
        <v>19</v>
      </c>
      <c r="I199">
        <v>30</v>
      </c>
      <c r="J199" s="3">
        <f t="shared" si="6"/>
        <v>45673.5</v>
      </c>
      <c r="K199" t="str">
        <f>TEXT(tblSales[[#This Row],[Date]],"ddd")</f>
        <v>Thu</v>
      </c>
      <c r="L199" s="4">
        <f t="shared" si="7"/>
        <v>12</v>
      </c>
    </row>
    <row r="200" spans="1:12" x14ac:dyDescent="0.45">
      <c r="A200" s="1">
        <v>45673</v>
      </c>
      <c r="B200" s="2">
        <v>0.5</v>
      </c>
      <c r="C200" t="s">
        <v>22</v>
      </c>
      <c r="D200" t="s">
        <v>16</v>
      </c>
      <c r="E200">
        <v>3</v>
      </c>
      <c r="F200">
        <v>16</v>
      </c>
      <c r="G200" t="s">
        <v>11</v>
      </c>
      <c r="H200" t="s">
        <v>12</v>
      </c>
      <c r="I200">
        <v>48</v>
      </c>
      <c r="J200" s="3">
        <f t="shared" si="6"/>
        <v>45673.5</v>
      </c>
      <c r="K200" t="str">
        <f>TEXT(tblSales[[#This Row],[Date]],"ddd")</f>
        <v>Thu</v>
      </c>
      <c r="L200" s="4">
        <f t="shared" si="7"/>
        <v>12</v>
      </c>
    </row>
    <row r="201" spans="1:12" x14ac:dyDescent="0.45">
      <c r="A201" s="1">
        <v>45673</v>
      </c>
      <c r="B201" s="2">
        <v>0.54166666666666663</v>
      </c>
      <c r="C201" t="s">
        <v>15</v>
      </c>
      <c r="D201" t="s">
        <v>16</v>
      </c>
      <c r="E201">
        <v>3</v>
      </c>
      <c r="F201">
        <v>10</v>
      </c>
      <c r="G201" t="s">
        <v>11</v>
      </c>
      <c r="H201" t="s">
        <v>19</v>
      </c>
      <c r="I201">
        <v>30</v>
      </c>
      <c r="J201" s="3">
        <f t="shared" si="6"/>
        <v>45673.541666666664</v>
      </c>
      <c r="K201" t="str">
        <f>TEXT(tblSales[[#This Row],[Date]],"ddd")</f>
        <v>Thu</v>
      </c>
      <c r="L201" s="4">
        <f t="shared" si="7"/>
        <v>13</v>
      </c>
    </row>
    <row r="202" spans="1:12" x14ac:dyDescent="0.45">
      <c r="A202" s="1">
        <v>45673</v>
      </c>
      <c r="B202" s="2">
        <v>0.58333333333333337</v>
      </c>
      <c r="C202" t="s">
        <v>21</v>
      </c>
      <c r="D202" t="s">
        <v>16</v>
      </c>
      <c r="E202">
        <v>3</v>
      </c>
      <c r="F202">
        <v>15</v>
      </c>
      <c r="G202" t="s">
        <v>14</v>
      </c>
      <c r="H202" t="s">
        <v>17</v>
      </c>
      <c r="I202">
        <v>45</v>
      </c>
      <c r="J202" s="3">
        <f t="shared" si="6"/>
        <v>45673.583333333336</v>
      </c>
      <c r="K202" t="str">
        <f>TEXT(tblSales[[#This Row],[Date]],"ddd")</f>
        <v>Thu</v>
      </c>
      <c r="L202" s="4">
        <f t="shared" si="7"/>
        <v>14</v>
      </c>
    </row>
    <row r="203" spans="1:12" x14ac:dyDescent="0.45">
      <c r="A203" s="1">
        <v>45673</v>
      </c>
      <c r="B203" s="2">
        <v>0.66666666666666663</v>
      </c>
      <c r="C203" t="s">
        <v>22</v>
      </c>
      <c r="D203" t="s">
        <v>16</v>
      </c>
      <c r="E203">
        <v>1</v>
      </c>
      <c r="F203">
        <v>16</v>
      </c>
      <c r="G203" t="s">
        <v>11</v>
      </c>
      <c r="H203" t="s">
        <v>19</v>
      </c>
      <c r="I203">
        <v>16</v>
      </c>
      <c r="J203" s="3">
        <f t="shared" si="6"/>
        <v>45673.666666666664</v>
      </c>
      <c r="K203" t="str">
        <f>TEXT(tblSales[[#This Row],[Date]],"ddd")</f>
        <v>Thu</v>
      </c>
      <c r="L203" s="4">
        <f t="shared" si="7"/>
        <v>16</v>
      </c>
    </row>
    <row r="204" spans="1:12" x14ac:dyDescent="0.45">
      <c r="A204" s="1">
        <v>45673</v>
      </c>
      <c r="B204" s="2">
        <v>0.75</v>
      </c>
      <c r="C204" t="s">
        <v>20</v>
      </c>
      <c r="D204" t="s">
        <v>16</v>
      </c>
      <c r="E204">
        <v>3</v>
      </c>
      <c r="F204">
        <v>14</v>
      </c>
      <c r="G204" t="s">
        <v>14</v>
      </c>
      <c r="H204" t="s">
        <v>17</v>
      </c>
      <c r="I204">
        <v>42</v>
      </c>
      <c r="J204" s="3">
        <f t="shared" si="6"/>
        <v>45673.75</v>
      </c>
      <c r="K204" t="str">
        <f>TEXT(tblSales[[#This Row],[Date]],"ddd")</f>
        <v>Thu</v>
      </c>
      <c r="L204" s="4">
        <f t="shared" si="7"/>
        <v>18</v>
      </c>
    </row>
    <row r="205" spans="1:12" x14ac:dyDescent="0.45">
      <c r="A205" s="1">
        <v>45673</v>
      </c>
      <c r="B205" s="2">
        <v>0.79166666666666663</v>
      </c>
      <c r="C205" t="s">
        <v>21</v>
      </c>
      <c r="D205" t="s">
        <v>16</v>
      </c>
      <c r="E205">
        <v>1</v>
      </c>
      <c r="F205">
        <v>15</v>
      </c>
      <c r="G205" t="s">
        <v>14</v>
      </c>
      <c r="H205" t="s">
        <v>12</v>
      </c>
      <c r="I205">
        <v>15</v>
      </c>
      <c r="J205" s="3">
        <f t="shared" si="6"/>
        <v>45673.791666666664</v>
      </c>
      <c r="K205" t="str">
        <f>TEXT(tblSales[[#This Row],[Date]],"ddd")</f>
        <v>Thu</v>
      </c>
      <c r="L205" s="4">
        <f t="shared" si="7"/>
        <v>19</v>
      </c>
    </row>
    <row r="206" spans="1:12" x14ac:dyDescent="0.45">
      <c r="A206" s="1">
        <v>45674</v>
      </c>
      <c r="B206" s="2">
        <v>0</v>
      </c>
      <c r="C206" t="s">
        <v>26</v>
      </c>
      <c r="D206" t="s">
        <v>10</v>
      </c>
      <c r="E206">
        <v>1</v>
      </c>
      <c r="F206">
        <v>17</v>
      </c>
      <c r="G206" t="s">
        <v>14</v>
      </c>
      <c r="H206" t="s">
        <v>19</v>
      </c>
      <c r="I206">
        <v>17</v>
      </c>
      <c r="J206" s="3">
        <f t="shared" si="6"/>
        <v>45674</v>
      </c>
      <c r="K206" t="str">
        <f>TEXT(tblSales[[#This Row],[Date]],"ddd")</f>
        <v>Fri</v>
      </c>
      <c r="L206" s="4">
        <f t="shared" si="7"/>
        <v>0</v>
      </c>
    </row>
    <row r="207" spans="1:12" x14ac:dyDescent="0.45">
      <c r="A207" s="1">
        <v>45674</v>
      </c>
      <c r="B207" s="2">
        <v>0</v>
      </c>
      <c r="C207" t="s">
        <v>25</v>
      </c>
      <c r="D207" t="s">
        <v>10</v>
      </c>
      <c r="E207">
        <v>2</v>
      </c>
      <c r="F207">
        <v>18</v>
      </c>
      <c r="G207" t="s">
        <v>14</v>
      </c>
      <c r="H207" t="s">
        <v>12</v>
      </c>
      <c r="I207">
        <v>36</v>
      </c>
      <c r="J207" s="3">
        <f t="shared" si="6"/>
        <v>45674</v>
      </c>
      <c r="K207" t="str">
        <f>TEXT(tblSales[[#This Row],[Date]],"ddd")</f>
        <v>Fri</v>
      </c>
      <c r="L207" s="4">
        <f t="shared" si="7"/>
        <v>0</v>
      </c>
    </row>
    <row r="208" spans="1:12" x14ac:dyDescent="0.45">
      <c r="A208" s="1">
        <v>45674</v>
      </c>
      <c r="B208" s="2">
        <v>4.1666666666666664E-2</v>
      </c>
      <c r="C208" t="s">
        <v>21</v>
      </c>
      <c r="D208" t="s">
        <v>16</v>
      </c>
      <c r="E208">
        <v>1</v>
      </c>
      <c r="F208">
        <v>15</v>
      </c>
      <c r="G208" t="s">
        <v>11</v>
      </c>
      <c r="H208" t="s">
        <v>17</v>
      </c>
      <c r="I208">
        <v>15</v>
      </c>
      <c r="J208" s="3">
        <f t="shared" si="6"/>
        <v>45674.041666666664</v>
      </c>
      <c r="K208" t="str">
        <f>TEXT(tblSales[[#This Row],[Date]],"ddd")</f>
        <v>Fri</v>
      </c>
      <c r="L208" s="4">
        <f t="shared" si="7"/>
        <v>1</v>
      </c>
    </row>
    <row r="209" spans="1:12" x14ac:dyDescent="0.45">
      <c r="A209" s="1">
        <v>45674</v>
      </c>
      <c r="B209" s="2">
        <v>4.1666666666666664E-2</v>
      </c>
      <c r="C209" t="s">
        <v>13</v>
      </c>
      <c r="D209" t="s">
        <v>10</v>
      </c>
      <c r="E209">
        <v>2</v>
      </c>
      <c r="F209">
        <v>9</v>
      </c>
      <c r="G209" t="s">
        <v>11</v>
      </c>
      <c r="H209" t="s">
        <v>12</v>
      </c>
      <c r="I209">
        <v>18</v>
      </c>
      <c r="J209" s="3">
        <f t="shared" si="6"/>
        <v>45674.041666666664</v>
      </c>
      <c r="K209" t="str">
        <f>TEXT(tblSales[[#This Row],[Date]],"ddd")</f>
        <v>Fri</v>
      </c>
      <c r="L209" s="4">
        <f t="shared" si="7"/>
        <v>1</v>
      </c>
    </row>
    <row r="210" spans="1:12" x14ac:dyDescent="0.45">
      <c r="A210" s="1">
        <v>45674</v>
      </c>
      <c r="B210" s="2">
        <v>4.1666666666666664E-2</v>
      </c>
      <c r="C210" t="s">
        <v>15</v>
      </c>
      <c r="D210" t="s">
        <v>16</v>
      </c>
      <c r="E210">
        <v>1</v>
      </c>
      <c r="F210">
        <v>10</v>
      </c>
      <c r="G210" t="s">
        <v>14</v>
      </c>
      <c r="H210" t="s">
        <v>19</v>
      </c>
      <c r="I210">
        <v>10</v>
      </c>
      <c r="J210" s="3">
        <f t="shared" si="6"/>
        <v>45674.041666666664</v>
      </c>
      <c r="K210" t="str">
        <f>TEXT(tblSales[[#This Row],[Date]],"ddd")</f>
        <v>Fri</v>
      </c>
      <c r="L210" s="4">
        <f t="shared" si="7"/>
        <v>1</v>
      </c>
    </row>
    <row r="211" spans="1:12" x14ac:dyDescent="0.45">
      <c r="A211" s="1">
        <v>45674</v>
      </c>
      <c r="B211" s="2">
        <v>8.3333333333333329E-2</v>
      </c>
      <c r="C211" t="s">
        <v>15</v>
      </c>
      <c r="D211" t="s">
        <v>16</v>
      </c>
      <c r="E211">
        <v>3</v>
      </c>
      <c r="F211">
        <v>10</v>
      </c>
      <c r="G211" t="s">
        <v>11</v>
      </c>
      <c r="H211" t="s">
        <v>17</v>
      </c>
      <c r="I211">
        <v>30</v>
      </c>
      <c r="J211" s="3">
        <f t="shared" si="6"/>
        <v>45674.083333333336</v>
      </c>
      <c r="K211" t="str">
        <f>TEXT(tblSales[[#This Row],[Date]],"ddd")</f>
        <v>Fri</v>
      </c>
      <c r="L211" s="4">
        <f t="shared" si="7"/>
        <v>2</v>
      </c>
    </row>
    <row r="212" spans="1:12" x14ac:dyDescent="0.45">
      <c r="A212" s="1">
        <v>45674</v>
      </c>
      <c r="B212" s="2">
        <v>0.125</v>
      </c>
      <c r="C212" t="s">
        <v>20</v>
      </c>
      <c r="D212" t="s">
        <v>16</v>
      </c>
      <c r="E212">
        <v>3</v>
      </c>
      <c r="F212">
        <v>14</v>
      </c>
      <c r="G212" t="s">
        <v>14</v>
      </c>
      <c r="H212" t="s">
        <v>19</v>
      </c>
      <c r="I212">
        <v>42</v>
      </c>
      <c r="J212" s="3">
        <f t="shared" si="6"/>
        <v>45674.125</v>
      </c>
      <c r="K212" t="str">
        <f>TEXT(tblSales[[#This Row],[Date]],"ddd")</f>
        <v>Fri</v>
      </c>
      <c r="L212" s="4">
        <f t="shared" si="7"/>
        <v>3</v>
      </c>
    </row>
    <row r="213" spans="1:12" x14ac:dyDescent="0.45">
      <c r="A213" s="1">
        <v>45674</v>
      </c>
      <c r="B213" s="2">
        <v>0.125</v>
      </c>
      <c r="C213" t="s">
        <v>13</v>
      </c>
      <c r="D213" t="s">
        <v>10</v>
      </c>
      <c r="E213">
        <v>2</v>
      </c>
      <c r="F213">
        <v>9</v>
      </c>
      <c r="G213" t="s">
        <v>23</v>
      </c>
      <c r="H213" t="s">
        <v>17</v>
      </c>
      <c r="I213">
        <v>18</v>
      </c>
      <c r="J213" s="3">
        <f t="shared" si="6"/>
        <v>45674.125</v>
      </c>
      <c r="K213" t="str">
        <f>TEXT(tblSales[[#This Row],[Date]],"ddd")</f>
        <v>Fri</v>
      </c>
      <c r="L213" s="4">
        <f t="shared" si="7"/>
        <v>3</v>
      </c>
    </row>
    <row r="214" spans="1:12" x14ac:dyDescent="0.45">
      <c r="A214" s="1">
        <v>45674</v>
      </c>
      <c r="B214" s="2">
        <v>0.20833333333333334</v>
      </c>
      <c r="C214" t="s">
        <v>9</v>
      </c>
      <c r="D214" t="s">
        <v>10</v>
      </c>
      <c r="E214">
        <v>1</v>
      </c>
      <c r="F214">
        <v>6</v>
      </c>
      <c r="G214" t="s">
        <v>23</v>
      </c>
      <c r="H214" t="s">
        <v>12</v>
      </c>
      <c r="I214">
        <v>6</v>
      </c>
      <c r="J214" s="3">
        <f t="shared" si="6"/>
        <v>45674.208333333336</v>
      </c>
      <c r="K214" t="str">
        <f>TEXT(tblSales[[#This Row],[Date]],"ddd")</f>
        <v>Fri</v>
      </c>
      <c r="L214" s="4">
        <f t="shared" si="7"/>
        <v>5</v>
      </c>
    </row>
    <row r="215" spans="1:12" x14ac:dyDescent="0.45">
      <c r="A215" s="1">
        <v>45674</v>
      </c>
      <c r="B215" s="2">
        <v>0.29166666666666669</v>
      </c>
      <c r="C215" t="s">
        <v>9</v>
      </c>
      <c r="D215" t="s">
        <v>10</v>
      </c>
      <c r="E215">
        <v>3</v>
      </c>
      <c r="F215">
        <v>6</v>
      </c>
      <c r="G215" t="s">
        <v>23</v>
      </c>
      <c r="H215" t="s">
        <v>19</v>
      </c>
      <c r="I215">
        <v>18</v>
      </c>
      <c r="J215" s="3">
        <f t="shared" si="6"/>
        <v>45674.291666666664</v>
      </c>
      <c r="K215" t="str">
        <f>TEXT(tblSales[[#This Row],[Date]],"ddd")</f>
        <v>Fri</v>
      </c>
      <c r="L215" s="4">
        <f t="shared" si="7"/>
        <v>7</v>
      </c>
    </row>
    <row r="216" spans="1:12" x14ac:dyDescent="0.45">
      <c r="A216" s="1">
        <v>45674</v>
      </c>
      <c r="B216" s="2">
        <v>0.29166666666666669</v>
      </c>
      <c r="C216" t="s">
        <v>13</v>
      </c>
      <c r="D216" t="s">
        <v>10</v>
      </c>
      <c r="E216">
        <v>2</v>
      </c>
      <c r="F216">
        <v>9</v>
      </c>
      <c r="G216" t="s">
        <v>14</v>
      </c>
      <c r="H216" t="s">
        <v>12</v>
      </c>
      <c r="I216">
        <v>18</v>
      </c>
      <c r="J216" s="3">
        <f t="shared" si="6"/>
        <v>45674.291666666664</v>
      </c>
      <c r="K216" t="str">
        <f>TEXT(tblSales[[#This Row],[Date]],"ddd")</f>
        <v>Fri</v>
      </c>
      <c r="L216" s="4">
        <f t="shared" si="7"/>
        <v>7</v>
      </c>
    </row>
    <row r="217" spans="1:12" x14ac:dyDescent="0.45">
      <c r="A217" s="1">
        <v>45674</v>
      </c>
      <c r="B217" s="2">
        <v>0.33333333333333331</v>
      </c>
      <c r="C217" t="s">
        <v>18</v>
      </c>
      <c r="D217" t="s">
        <v>10</v>
      </c>
      <c r="E217">
        <v>1</v>
      </c>
      <c r="F217">
        <v>8</v>
      </c>
      <c r="G217" t="s">
        <v>11</v>
      </c>
      <c r="H217" t="s">
        <v>12</v>
      </c>
      <c r="I217">
        <v>8</v>
      </c>
      <c r="J217" s="3">
        <f t="shared" si="6"/>
        <v>45674.333333333336</v>
      </c>
      <c r="K217" t="str">
        <f>TEXT(tblSales[[#This Row],[Date]],"ddd")</f>
        <v>Fri</v>
      </c>
      <c r="L217" s="4">
        <f t="shared" si="7"/>
        <v>8</v>
      </c>
    </row>
    <row r="218" spans="1:12" x14ac:dyDescent="0.45">
      <c r="A218" s="1">
        <v>45674</v>
      </c>
      <c r="B218" s="2">
        <v>0.33333333333333331</v>
      </c>
      <c r="C218" t="s">
        <v>18</v>
      </c>
      <c r="D218" t="s">
        <v>10</v>
      </c>
      <c r="E218">
        <v>1</v>
      </c>
      <c r="F218">
        <v>8</v>
      </c>
      <c r="G218" t="s">
        <v>14</v>
      </c>
      <c r="H218" t="s">
        <v>17</v>
      </c>
      <c r="I218">
        <v>8</v>
      </c>
      <c r="J218" s="3">
        <f t="shared" si="6"/>
        <v>45674.333333333336</v>
      </c>
      <c r="K218" t="str">
        <f>TEXT(tblSales[[#This Row],[Date]],"ddd")</f>
        <v>Fri</v>
      </c>
      <c r="L218" s="4">
        <f t="shared" si="7"/>
        <v>8</v>
      </c>
    </row>
    <row r="219" spans="1:12" x14ac:dyDescent="0.45">
      <c r="A219" s="1">
        <v>45674</v>
      </c>
      <c r="B219" s="2">
        <v>0.54166666666666663</v>
      </c>
      <c r="C219" t="s">
        <v>18</v>
      </c>
      <c r="D219" t="s">
        <v>10</v>
      </c>
      <c r="E219">
        <v>3</v>
      </c>
      <c r="F219">
        <v>8</v>
      </c>
      <c r="G219" t="s">
        <v>14</v>
      </c>
      <c r="H219" t="s">
        <v>17</v>
      </c>
      <c r="I219">
        <v>24</v>
      </c>
      <c r="J219" s="3">
        <f t="shared" si="6"/>
        <v>45674.541666666664</v>
      </c>
      <c r="K219" t="str">
        <f>TEXT(tblSales[[#This Row],[Date]],"ddd")</f>
        <v>Fri</v>
      </c>
      <c r="L219" s="4">
        <f t="shared" si="7"/>
        <v>13</v>
      </c>
    </row>
    <row r="220" spans="1:12" x14ac:dyDescent="0.45">
      <c r="A220" s="1">
        <v>45674</v>
      </c>
      <c r="B220" s="2">
        <v>0.54166666666666663</v>
      </c>
      <c r="C220" t="s">
        <v>15</v>
      </c>
      <c r="D220" t="s">
        <v>16</v>
      </c>
      <c r="E220">
        <v>2</v>
      </c>
      <c r="F220">
        <v>10</v>
      </c>
      <c r="G220" t="s">
        <v>14</v>
      </c>
      <c r="H220" t="s">
        <v>12</v>
      </c>
      <c r="I220">
        <v>20</v>
      </c>
      <c r="J220" s="3">
        <f t="shared" si="6"/>
        <v>45674.541666666664</v>
      </c>
      <c r="K220" t="str">
        <f>TEXT(tblSales[[#This Row],[Date]],"ddd")</f>
        <v>Fri</v>
      </c>
      <c r="L220" s="4">
        <f t="shared" si="7"/>
        <v>13</v>
      </c>
    </row>
    <row r="221" spans="1:12" x14ac:dyDescent="0.45">
      <c r="A221" s="1">
        <v>45674</v>
      </c>
      <c r="B221" s="2">
        <v>0.625</v>
      </c>
      <c r="C221" t="s">
        <v>21</v>
      </c>
      <c r="D221" t="s">
        <v>16</v>
      </c>
      <c r="E221">
        <v>3</v>
      </c>
      <c r="F221">
        <v>15</v>
      </c>
      <c r="G221" t="s">
        <v>14</v>
      </c>
      <c r="H221" t="s">
        <v>12</v>
      </c>
      <c r="I221">
        <v>45</v>
      </c>
      <c r="J221" s="3">
        <f t="shared" si="6"/>
        <v>45674.625</v>
      </c>
      <c r="K221" t="str">
        <f>TEXT(tblSales[[#This Row],[Date]],"ddd")</f>
        <v>Fri</v>
      </c>
      <c r="L221" s="4">
        <f t="shared" si="7"/>
        <v>15</v>
      </c>
    </row>
    <row r="222" spans="1:12" x14ac:dyDescent="0.45">
      <c r="A222" s="1">
        <v>45674</v>
      </c>
      <c r="B222" s="2">
        <v>0.66666666666666663</v>
      </c>
      <c r="C222" t="s">
        <v>18</v>
      </c>
      <c r="D222" t="s">
        <v>10</v>
      </c>
      <c r="E222">
        <v>3</v>
      </c>
      <c r="F222">
        <v>8</v>
      </c>
      <c r="G222" t="s">
        <v>11</v>
      </c>
      <c r="H222" t="s">
        <v>12</v>
      </c>
      <c r="I222">
        <v>24</v>
      </c>
      <c r="J222" s="3">
        <f t="shared" si="6"/>
        <v>45674.666666666664</v>
      </c>
      <c r="K222" t="str">
        <f>TEXT(tblSales[[#This Row],[Date]],"ddd")</f>
        <v>Fri</v>
      </c>
      <c r="L222" s="4">
        <f t="shared" si="7"/>
        <v>16</v>
      </c>
    </row>
    <row r="223" spans="1:12" x14ac:dyDescent="0.45">
      <c r="A223" s="1">
        <v>45674</v>
      </c>
      <c r="B223" s="2">
        <v>0.66666666666666663</v>
      </c>
      <c r="C223" t="s">
        <v>15</v>
      </c>
      <c r="D223" t="s">
        <v>16</v>
      </c>
      <c r="E223">
        <v>1</v>
      </c>
      <c r="F223">
        <v>10</v>
      </c>
      <c r="G223" t="s">
        <v>14</v>
      </c>
      <c r="H223" t="s">
        <v>19</v>
      </c>
      <c r="I223">
        <v>10</v>
      </c>
      <c r="J223" s="3">
        <f t="shared" si="6"/>
        <v>45674.666666666664</v>
      </c>
      <c r="K223" t="str">
        <f>TEXT(tblSales[[#This Row],[Date]],"ddd")</f>
        <v>Fri</v>
      </c>
      <c r="L223" s="4">
        <f t="shared" si="7"/>
        <v>16</v>
      </c>
    </row>
    <row r="224" spans="1:12" x14ac:dyDescent="0.45">
      <c r="A224" s="1">
        <v>45674</v>
      </c>
      <c r="B224" s="2">
        <v>0.70833333333333337</v>
      </c>
      <c r="C224" t="s">
        <v>15</v>
      </c>
      <c r="D224" t="s">
        <v>16</v>
      </c>
      <c r="E224">
        <v>1</v>
      </c>
      <c r="F224">
        <v>10</v>
      </c>
      <c r="G224" t="s">
        <v>14</v>
      </c>
      <c r="H224" t="s">
        <v>12</v>
      </c>
      <c r="I224">
        <v>10</v>
      </c>
      <c r="J224" s="3">
        <f t="shared" si="6"/>
        <v>45674.708333333336</v>
      </c>
      <c r="K224" t="str">
        <f>TEXT(tblSales[[#This Row],[Date]],"ddd")</f>
        <v>Fri</v>
      </c>
      <c r="L224" s="4">
        <f t="shared" si="7"/>
        <v>17</v>
      </c>
    </row>
    <row r="225" spans="1:12" x14ac:dyDescent="0.45">
      <c r="A225" s="1">
        <v>45674</v>
      </c>
      <c r="B225" s="2">
        <v>0.75</v>
      </c>
      <c r="C225" t="s">
        <v>18</v>
      </c>
      <c r="D225" t="s">
        <v>10</v>
      </c>
      <c r="E225">
        <v>3</v>
      </c>
      <c r="F225">
        <v>8</v>
      </c>
      <c r="G225" t="s">
        <v>14</v>
      </c>
      <c r="H225" t="s">
        <v>12</v>
      </c>
      <c r="I225">
        <v>24</v>
      </c>
      <c r="J225" s="3">
        <f t="shared" si="6"/>
        <v>45674.75</v>
      </c>
      <c r="K225" t="str">
        <f>TEXT(tblSales[[#This Row],[Date]],"ddd")</f>
        <v>Fri</v>
      </c>
      <c r="L225" s="4">
        <f t="shared" si="7"/>
        <v>18</v>
      </c>
    </row>
    <row r="226" spans="1:12" x14ac:dyDescent="0.45">
      <c r="A226" s="1">
        <v>45674</v>
      </c>
      <c r="B226" s="2">
        <v>0.75</v>
      </c>
      <c r="C226" t="s">
        <v>18</v>
      </c>
      <c r="D226" t="s">
        <v>10</v>
      </c>
      <c r="E226">
        <v>1</v>
      </c>
      <c r="F226">
        <v>8</v>
      </c>
      <c r="G226" t="s">
        <v>14</v>
      </c>
      <c r="H226" t="s">
        <v>17</v>
      </c>
      <c r="I226">
        <v>8</v>
      </c>
      <c r="J226" s="3">
        <f t="shared" si="6"/>
        <v>45674.75</v>
      </c>
      <c r="K226" t="str">
        <f>TEXT(tblSales[[#This Row],[Date]],"ddd")</f>
        <v>Fri</v>
      </c>
      <c r="L226" s="4">
        <f t="shared" si="7"/>
        <v>18</v>
      </c>
    </row>
    <row r="227" spans="1:12" x14ac:dyDescent="0.45">
      <c r="A227" s="1">
        <v>45674</v>
      </c>
      <c r="B227" s="2">
        <v>0.79166666666666663</v>
      </c>
      <c r="C227" t="s">
        <v>20</v>
      </c>
      <c r="D227" t="s">
        <v>16</v>
      </c>
      <c r="E227">
        <v>3</v>
      </c>
      <c r="F227">
        <v>14</v>
      </c>
      <c r="G227" t="s">
        <v>23</v>
      </c>
      <c r="H227" t="s">
        <v>12</v>
      </c>
      <c r="I227">
        <v>42</v>
      </c>
      <c r="J227" s="3">
        <f t="shared" si="6"/>
        <v>45674.791666666664</v>
      </c>
      <c r="K227" t="str">
        <f>TEXT(tblSales[[#This Row],[Date]],"ddd")</f>
        <v>Fri</v>
      </c>
      <c r="L227" s="4">
        <f t="shared" si="7"/>
        <v>19</v>
      </c>
    </row>
    <row r="228" spans="1:12" x14ac:dyDescent="0.45">
      <c r="A228" s="1">
        <v>45674</v>
      </c>
      <c r="B228" s="2">
        <v>0.91666666666666663</v>
      </c>
      <c r="C228" t="s">
        <v>15</v>
      </c>
      <c r="D228" t="s">
        <v>16</v>
      </c>
      <c r="E228">
        <v>1</v>
      </c>
      <c r="F228">
        <v>10</v>
      </c>
      <c r="G228" t="s">
        <v>11</v>
      </c>
      <c r="H228" t="s">
        <v>19</v>
      </c>
      <c r="I228">
        <v>10</v>
      </c>
      <c r="J228" s="3">
        <f t="shared" si="6"/>
        <v>45674.916666666664</v>
      </c>
      <c r="K228" t="str">
        <f>TEXT(tblSales[[#This Row],[Date]],"ddd")</f>
        <v>Fri</v>
      </c>
      <c r="L228" s="4">
        <f t="shared" si="7"/>
        <v>22</v>
      </c>
    </row>
    <row r="229" spans="1:12" x14ac:dyDescent="0.45">
      <c r="A229" s="1">
        <v>45674</v>
      </c>
      <c r="B229" s="2">
        <v>0.91666666666666663</v>
      </c>
      <c r="C229" t="s">
        <v>25</v>
      </c>
      <c r="D229" t="s">
        <v>10</v>
      </c>
      <c r="E229">
        <v>3</v>
      </c>
      <c r="F229">
        <v>18</v>
      </c>
      <c r="G229" t="s">
        <v>14</v>
      </c>
      <c r="H229" t="s">
        <v>12</v>
      </c>
      <c r="I229">
        <v>54</v>
      </c>
      <c r="J229" s="3">
        <f t="shared" si="6"/>
        <v>45674.916666666664</v>
      </c>
      <c r="K229" t="str">
        <f>TEXT(tblSales[[#This Row],[Date]],"ddd")</f>
        <v>Fri</v>
      </c>
      <c r="L229" s="4">
        <f t="shared" si="7"/>
        <v>22</v>
      </c>
    </row>
    <row r="230" spans="1:12" x14ac:dyDescent="0.45">
      <c r="A230" s="1">
        <v>45674</v>
      </c>
      <c r="B230" s="2">
        <v>0.95833333333333337</v>
      </c>
      <c r="C230" t="s">
        <v>18</v>
      </c>
      <c r="D230" t="s">
        <v>10</v>
      </c>
      <c r="E230">
        <v>1</v>
      </c>
      <c r="F230">
        <v>8</v>
      </c>
      <c r="G230" t="s">
        <v>14</v>
      </c>
      <c r="H230" t="s">
        <v>12</v>
      </c>
      <c r="I230">
        <v>8</v>
      </c>
      <c r="J230" s="3">
        <f t="shared" si="6"/>
        <v>45674.958333333336</v>
      </c>
      <c r="K230" t="str">
        <f>TEXT(tblSales[[#This Row],[Date]],"ddd")</f>
        <v>Fri</v>
      </c>
      <c r="L230" s="4">
        <f t="shared" si="7"/>
        <v>23</v>
      </c>
    </row>
    <row r="231" spans="1:12" x14ac:dyDescent="0.45">
      <c r="A231" s="1">
        <v>45675</v>
      </c>
      <c r="B231" s="2">
        <v>8.3333333333333329E-2</v>
      </c>
      <c r="C231" t="s">
        <v>25</v>
      </c>
      <c r="D231" t="s">
        <v>10</v>
      </c>
      <c r="E231">
        <v>2</v>
      </c>
      <c r="F231">
        <v>18</v>
      </c>
      <c r="G231" t="s">
        <v>14</v>
      </c>
      <c r="H231" t="s">
        <v>19</v>
      </c>
      <c r="I231">
        <v>36</v>
      </c>
      <c r="J231" s="3">
        <f t="shared" si="6"/>
        <v>45675.083333333336</v>
      </c>
      <c r="K231" t="str">
        <f>TEXT(tblSales[[#This Row],[Date]],"ddd")</f>
        <v>Sat</v>
      </c>
      <c r="L231" s="4">
        <f t="shared" si="7"/>
        <v>2</v>
      </c>
    </row>
    <row r="232" spans="1:12" x14ac:dyDescent="0.45">
      <c r="A232" s="1">
        <v>45675</v>
      </c>
      <c r="B232" s="2">
        <v>0.20833333333333334</v>
      </c>
      <c r="C232" t="s">
        <v>22</v>
      </c>
      <c r="D232" t="s">
        <v>16</v>
      </c>
      <c r="E232">
        <v>1</v>
      </c>
      <c r="F232">
        <v>16</v>
      </c>
      <c r="G232" t="s">
        <v>11</v>
      </c>
      <c r="H232" t="s">
        <v>17</v>
      </c>
      <c r="I232">
        <v>16</v>
      </c>
      <c r="J232" s="3">
        <f t="shared" si="6"/>
        <v>45675.208333333336</v>
      </c>
      <c r="K232" t="str">
        <f>TEXT(tblSales[[#This Row],[Date]],"ddd")</f>
        <v>Sat</v>
      </c>
      <c r="L232" s="4">
        <f t="shared" si="7"/>
        <v>5</v>
      </c>
    </row>
    <row r="233" spans="1:12" x14ac:dyDescent="0.45">
      <c r="A233" s="1">
        <v>45675</v>
      </c>
      <c r="B233" s="2">
        <v>0.25</v>
      </c>
      <c r="C233" t="s">
        <v>26</v>
      </c>
      <c r="D233" t="s">
        <v>10</v>
      </c>
      <c r="E233">
        <v>3</v>
      </c>
      <c r="F233">
        <v>17</v>
      </c>
      <c r="G233" t="s">
        <v>14</v>
      </c>
      <c r="H233" t="s">
        <v>19</v>
      </c>
      <c r="I233">
        <v>51</v>
      </c>
      <c r="J233" s="3">
        <f t="shared" si="6"/>
        <v>45675.25</v>
      </c>
      <c r="K233" t="str">
        <f>TEXT(tblSales[[#This Row],[Date]],"ddd")</f>
        <v>Sat</v>
      </c>
      <c r="L233" s="4">
        <f t="shared" si="7"/>
        <v>6</v>
      </c>
    </row>
    <row r="234" spans="1:12" x14ac:dyDescent="0.45">
      <c r="A234" s="1">
        <v>45675</v>
      </c>
      <c r="B234" s="2">
        <v>0.29166666666666669</v>
      </c>
      <c r="C234" t="s">
        <v>9</v>
      </c>
      <c r="D234" t="s">
        <v>10</v>
      </c>
      <c r="E234">
        <v>1</v>
      </c>
      <c r="F234">
        <v>6</v>
      </c>
      <c r="G234" t="s">
        <v>14</v>
      </c>
      <c r="H234" t="s">
        <v>12</v>
      </c>
      <c r="I234">
        <v>6</v>
      </c>
      <c r="J234" s="3">
        <f t="shared" si="6"/>
        <v>45675.291666666664</v>
      </c>
      <c r="K234" t="str">
        <f>TEXT(tblSales[[#This Row],[Date]],"ddd")</f>
        <v>Sat</v>
      </c>
      <c r="L234" s="4">
        <f t="shared" si="7"/>
        <v>7</v>
      </c>
    </row>
    <row r="235" spans="1:12" x14ac:dyDescent="0.45">
      <c r="A235" s="1">
        <v>45675</v>
      </c>
      <c r="B235" s="2">
        <v>0.41666666666666669</v>
      </c>
      <c r="C235" t="s">
        <v>13</v>
      </c>
      <c r="D235" t="s">
        <v>10</v>
      </c>
      <c r="E235">
        <v>3</v>
      </c>
      <c r="F235">
        <v>9</v>
      </c>
      <c r="G235" t="s">
        <v>14</v>
      </c>
      <c r="H235" t="s">
        <v>17</v>
      </c>
      <c r="I235">
        <v>27</v>
      </c>
      <c r="J235" s="3">
        <f t="shared" si="6"/>
        <v>45675.416666666664</v>
      </c>
      <c r="K235" t="str">
        <f>TEXT(tblSales[[#This Row],[Date]],"ddd")</f>
        <v>Sat</v>
      </c>
      <c r="L235" s="4">
        <f t="shared" si="7"/>
        <v>10</v>
      </c>
    </row>
    <row r="236" spans="1:12" x14ac:dyDescent="0.45">
      <c r="A236" s="1">
        <v>45675</v>
      </c>
      <c r="B236" s="2">
        <v>0.45833333333333331</v>
      </c>
      <c r="C236" t="s">
        <v>21</v>
      </c>
      <c r="D236" t="s">
        <v>16</v>
      </c>
      <c r="E236">
        <v>1</v>
      </c>
      <c r="F236">
        <v>15</v>
      </c>
      <c r="G236" t="s">
        <v>14</v>
      </c>
      <c r="H236" t="s">
        <v>12</v>
      </c>
      <c r="I236">
        <v>15</v>
      </c>
      <c r="J236" s="3">
        <f t="shared" si="6"/>
        <v>45675.458333333336</v>
      </c>
      <c r="K236" t="str">
        <f>TEXT(tblSales[[#This Row],[Date]],"ddd")</f>
        <v>Sat</v>
      </c>
      <c r="L236" s="4">
        <f t="shared" si="7"/>
        <v>11</v>
      </c>
    </row>
    <row r="237" spans="1:12" x14ac:dyDescent="0.45">
      <c r="A237" s="1">
        <v>45675</v>
      </c>
      <c r="B237" s="2">
        <v>0.54166666666666663</v>
      </c>
      <c r="C237" t="s">
        <v>25</v>
      </c>
      <c r="D237" t="s">
        <v>10</v>
      </c>
      <c r="E237">
        <v>1</v>
      </c>
      <c r="F237">
        <v>18</v>
      </c>
      <c r="G237" t="s">
        <v>14</v>
      </c>
      <c r="H237" t="s">
        <v>19</v>
      </c>
      <c r="I237">
        <v>18</v>
      </c>
      <c r="J237" s="3">
        <f t="shared" si="6"/>
        <v>45675.541666666664</v>
      </c>
      <c r="K237" t="str">
        <f>TEXT(tblSales[[#This Row],[Date]],"ddd")</f>
        <v>Sat</v>
      </c>
      <c r="L237" s="4">
        <f t="shared" si="7"/>
        <v>13</v>
      </c>
    </row>
    <row r="238" spans="1:12" x14ac:dyDescent="0.45">
      <c r="A238" s="1">
        <v>45675</v>
      </c>
      <c r="B238" s="2">
        <v>0.79166666666666663</v>
      </c>
      <c r="C238" t="s">
        <v>9</v>
      </c>
      <c r="D238" t="s">
        <v>10</v>
      </c>
      <c r="E238">
        <v>3</v>
      </c>
      <c r="F238">
        <v>6</v>
      </c>
      <c r="G238" t="s">
        <v>11</v>
      </c>
      <c r="H238" t="s">
        <v>12</v>
      </c>
      <c r="I238">
        <v>18</v>
      </c>
      <c r="J238" s="3">
        <f t="shared" si="6"/>
        <v>45675.791666666664</v>
      </c>
      <c r="K238" t="str">
        <f>TEXT(tblSales[[#This Row],[Date]],"ddd")</f>
        <v>Sat</v>
      </c>
      <c r="L238" s="4">
        <f t="shared" si="7"/>
        <v>19</v>
      </c>
    </row>
    <row r="239" spans="1:12" x14ac:dyDescent="0.45">
      <c r="A239" s="1">
        <v>45676</v>
      </c>
      <c r="B239" s="2">
        <v>0.125</v>
      </c>
      <c r="C239" t="s">
        <v>15</v>
      </c>
      <c r="D239" t="s">
        <v>16</v>
      </c>
      <c r="E239">
        <v>2</v>
      </c>
      <c r="F239">
        <v>10</v>
      </c>
      <c r="G239" t="s">
        <v>14</v>
      </c>
      <c r="H239" t="s">
        <v>12</v>
      </c>
      <c r="I239">
        <v>20</v>
      </c>
      <c r="J239" s="3">
        <f t="shared" si="6"/>
        <v>45676.125</v>
      </c>
      <c r="K239" t="str">
        <f>TEXT(tblSales[[#This Row],[Date]],"ddd")</f>
        <v>Sun</v>
      </c>
      <c r="L239" s="4">
        <f t="shared" si="7"/>
        <v>3</v>
      </c>
    </row>
    <row r="240" spans="1:12" x14ac:dyDescent="0.45">
      <c r="A240" s="1">
        <v>45676</v>
      </c>
      <c r="B240" s="2">
        <v>0.20833333333333334</v>
      </c>
      <c r="C240" t="s">
        <v>22</v>
      </c>
      <c r="D240" t="s">
        <v>16</v>
      </c>
      <c r="E240">
        <v>2</v>
      </c>
      <c r="F240">
        <v>16</v>
      </c>
      <c r="G240" t="s">
        <v>23</v>
      </c>
      <c r="H240" t="s">
        <v>17</v>
      </c>
      <c r="I240">
        <v>32</v>
      </c>
      <c r="J240" s="3">
        <f t="shared" si="6"/>
        <v>45676.208333333336</v>
      </c>
      <c r="K240" t="str">
        <f>TEXT(tblSales[[#This Row],[Date]],"ddd")</f>
        <v>Sun</v>
      </c>
      <c r="L240" s="4">
        <f t="shared" si="7"/>
        <v>5</v>
      </c>
    </row>
    <row r="241" spans="1:12" x14ac:dyDescent="0.45">
      <c r="A241" s="1">
        <v>45676</v>
      </c>
      <c r="B241" s="2">
        <v>0.25</v>
      </c>
      <c r="C241" t="s">
        <v>20</v>
      </c>
      <c r="D241" t="s">
        <v>16</v>
      </c>
      <c r="E241">
        <v>2</v>
      </c>
      <c r="F241">
        <v>14</v>
      </c>
      <c r="G241" t="s">
        <v>14</v>
      </c>
      <c r="H241" t="s">
        <v>12</v>
      </c>
      <c r="I241">
        <v>28</v>
      </c>
      <c r="J241" s="3">
        <f t="shared" si="6"/>
        <v>45676.25</v>
      </c>
      <c r="K241" t="str">
        <f>TEXT(tblSales[[#This Row],[Date]],"ddd")</f>
        <v>Sun</v>
      </c>
      <c r="L241" s="4">
        <f t="shared" si="7"/>
        <v>6</v>
      </c>
    </row>
    <row r="242" spans="1:12" x14ac:dyDescent="0.45">
      <c r="A242" s="1">
        <v>45676</v>
      </c>
      <c r="B242" s="2">
        <v>0.375</v>
      </c>
      <c r="C242" t="s">
        <v>20</v>
      </c>
      <c r="D242" t="s">
        <v>16</v>
      </c>
      <c r="E242">
        <v>2</v>
      </c>
      <c r="F242">
        <v>14</v>
      </c>
      <c r="G242" t="s">
        <v>14</v>
      </c>
      <c r="H242" t="s">
        <v>17</v>
      </c>
      <c r="I242">
        <v>28</v>
      </c>
      <c r="J242" s="3">
        <f t="shared" si="6"/>
        <v>45676.375</v>
      </c>
      <c r="K242" t="str">
        <f>TEXT(tblSales[[#This Row],[Date]],"ddd")</f>
        <v>Sun</v>
      </c>
      <c r="L242" s="4">
        <f t="shared" si="7"/>
        <v>9</v>
      </c>
    </row>
    <row r="243" spans="1:12" x14ac:dyDescent="0.45">
      <c r="A243" s="1">
        <v>45676</v>
      </c>
      <c r="B243" s="2">
        <v>0.83333333333333337</v>
      </c>
      <c r="C243" t="s">
        <v>20</v>
      </c>
      <c r="D243" t="s">
        <v>16</v>
      </c>
      <c r="E243">
        <v>3</v>
      </c>
      <c r="F243">
        <v>14</v>
      </c>
      <c r="G243" t="s">
        <v>11</v>
      </c>
      <c r="H243" t="s">
        <v>12</v>
      </c>
      <c r="I243">
        <v>42</v>
      </c>
      <c r="J243" s="3">
        <f t="shared" si="6"/>
        <v>45676.833333333336</v>
      </c>
      <c r="K243" t="str">
        <f>TEXT(tblSales[[#This Row],[Date]],"ddd")</f>
        <v>Sun</v>
      </c>
      <c r="L243" s="4">
        <f t="shared" si="7"/>
        <v>20</v>
      </c>
    </row>
    <row r="244" spans="1:12" x14ac:dyDescent="0.45">
      <c r="A244" s="1">
        <v>45676</v>
      </c>
      <c r="B244" s="2">
        <v>0.83333333333333337</v>
      </c>
      <c r="C244" t="s">
        <v>26</v>
      </c>
      <c r="D244" t="s">
        <v>10</v>
      </c>
      <c r="E244">
        <v>1</v>
      </c>
      <c r="F244">
        <v>17</v>
      </c>
      <c r="G244" t="s">
        <v>14</v>
      </c>
      <c r="H244" t="s">
        <v>17</v>
      </c>
      <c r="I244">
        <v>17</v>
      </c>
      <c r="J244" s="3">
        <f t="shared" si="6"/>
        <v>45676.833333333336</v>
      </c>
      <c r="K244" t="str">
        <f>TEXT(tblSales[[#This Row],[Date]],"ddd")</f>
        <v>Sun</v>
      </c>
      <c r="L244" s="4">
        <f t="shared" si="7"/>
        <v>20</v>
      </c>
    </row>
    <row r="245" spans="1:12" x14ac:dyDescent="0.45">
      <c r="A245" s="1">
        <v>45676</v>
      </c>
      <c r="B245" s="2">
        <v>0.91666666666666663</v>
      </c>
      <c r="C245" t="s">
        <v>26</v>
      </c>
      <c r="D245" t="s">
        <v>10</v>
      </c>
      <c r="E245">
        <v>3</v>
      </c>
      <c r="F245">
        <v>17</v>
      </c>
      <c r="G245" t="s">
        <v>11</v>
      </c>
      <c r="H245" t="s">
        <v>19</v>
      </c>
      <c r="I245">
        <v>51</v>
      </c>
      <c r="J245" s="3">
        <f t="shared" si="6"/>
        <v>45676.916666666664</v>
      </c>
      <c r="K245" t="str">
        <f>TEXT(tblSales[[#This Row],[Date]],"ddd")</f>
        <v>Sun</v>
      </c>
      <c r="L245" s="4">
        <f t="shared" si="7"/>
        <v>22</v>
      </c>
    </row>
    <row r="246" spans="1:12" x14ac:dyDescent="0.45">
      <c r="A246" s="1">
        <v>45676</v>
      </c>
      <c r="B246" s="2">
        <v>0.95833333333333337</v>
      </c>
      <c r="C246" t="s">
        <v>20</v>
      </c>
      <c r="D246" t="s">
        <v>16</v>
      </c>
      <c r="E246">
        <v>1</v>
      </c>
      <c r="F246">
        <v>14</v>
      </c>
      <c r="G246" t="s">
        <v>14</v>
      </c>
      <c r="H246" t="s">
        <v>12</v>
      </c>
      <c r="I246">
        <v>14</v>
      </c>
      <c r="J246" s="3">
        <f t="shared" si="6"/>
        <v>45676.958333333336</v>
      </c>
      <c r="K246" t="str">
        <f>TEXT(tblSales[[#This Row],[Date]],"ddd")</f>
        <v>Sun</v>
      </c>
      <c r="L246" s="4">
        <f t="shared" si="7"/>
        <v>23</v>
      </c>
    </row>
    <row r="247" spans="1:12" x14ac:dyDescent="0.45">
      <c r="A247" s="1">
        <v>45676</v>
      </c>
      <c r="B247" s="2">
        <v>0.95833333333333337</v>
      </c>
      <c r="C247" t="s">
        <v>25</v>
      </c>
      <c r="D247" t="s">
        <v>10</v>
      </c>
      <c r="E247">
        <v>1</v>
      </c>
      <c r="F247">
        <v>18</v>
      </c>
      <c r="G247" t="s">
        <v>14</v>
      </c>
      <c r="H247" t="s">
        <v>12</v>
      </c>
      <c r="I247">
        <v>18</v>
      </c>
      <c r="J247" s="3">
        <f t="shared" si="6"/>
        <v>45676.958333333336</v>
      </c>
      <c r="K247" t="str">
        <f>TEXT(tblSales[[#This Row],[Date]],"ddd")</f>
        <v>Sun</v>
      </c>
      <c r="L247" s="4">
        <f t="shared" si="7"/>
        <v>23</v>
      </c>
    </row>
    <row r="248" spans="1:12" x14ac:dyDescent="0.45">
      <c r="A248" s="1">
        <v>45677</v>
      </c>
      <c r="B248" s="2">
        <v>8.3333333333333329E-2</v>
      </c>
      <c r="C248" t="s">
        <v>25</v>
      </c>
      <c r="D248" t="s">
        <v>10</v>
      </c>
      <c r="E248">
        <v>3</v>
      </c>
      <c r="F248">
        <v>18</v>
      </c>
      <c r="G248" t="s">
        <v>11</v>
      </c>
      <c r="H248" t="s">
        <v>19</v>
      </c>
      <c r="I248">
        <v>54</v>
      </c>
      <c r="J248" s="3">
        <f t="shared" si="6"/>
        <v>45677.083333333336</v>
      </c>
      <c r="K248" t="str">
        <f>TEXT(tblSales[[#This Row],[Date]],"ddd")</f>
        <v>Mon</v>
      </c>
      <c r="L248" s="4">
        <f t="shared" si="7"/>
        <v>2</v>
      </c>
    </row>
    <row r="249" spans="1:12" x14ac:dyDescent="0.45">
      <c r="A249" s="1">
        <v>45677</v>
      </c>
      <c r="B249" s="2">
        <v>0.125</v>
      </c>
      <c r="C249" t="s">
        <v>9</v>
      </c>
      <c r="D249" t="s">
        <v>10</v>
      </c>
      <c r="E249">
        <v>2</v>
      </c>
      <c r="F249">
        <v>6</v>
      </c>
      <c r="G249" t="s">
        <v>11</v>
      </c>
      <c r="H249" t="s">
        <v>12</v>
      </c>
      <c r="I249">
        <v>12</v>
      </c>
      <c r="J249" s="3">
        <f t="shared" si="6"/>
        <v>45677.125</v>
      </c>
      <c r="K249" t="str">
        <f>TEXT(tblSales[[#This Row],[Date]],"ddd")</f>
        <v>Mon</v>
      </c>
      <c r="L249" s="4">
        <f t="shared" si="7"/>
        <v>3</v>
      </c>
    </row>
    <row r="250" spans="1:12" x14ac:dyDescent="0.45">
      <c r="A250" s="1">
        <v>45677</v>
      </c>
      <c r="B250" s="2">
        <v>0.125</v>
      </c>
      <c r="C250" t="s">
        <v>22</v>
      </c>
      <c r="D250" t="s">
        <v>16</v>
      </c>
      <c r="E250">
        <v>1</v>
      </c>
      <c r="F250">
        <v>16</v>
      </c>
      <c r="G250" t="s">
        <v>14</v>
      </c>
      <c r="H250" t="s">
        <v>19</v>
      </c>
      <c r="I250">
        <v>16</v>
      </c>
      <c r="J250" s="3">
        <f t="shared" si="6"/>
        <v>45677.125</v>
      </c>
      <c r="K250" t="str">
        <f>TEXT(tblSales[[#This Row],[Date]],"ddd")</f>
        <v>Mon</v>
      </c>
      <c r="L250" s="4">
        <f t="shared" si="7"/>
        <v>3</v>
      </c>
    </row>
    <row r="251" spans="1:12" x14ac:dyDescent="0.45">
      <c r="A251" s="1">
        <v>45677</v>
      </c>
      <c r="B251" s="2">
        <v>0.16666666666666666</v>
      </c>
      <c r="C251" t="s">
        <v>20</v>
      </c>
      <c r="D251" t="s">
        <v>16</v>
      </c>
      <c r="E251">
        <v>2</v>
      </c>
      <c r="F251">
        <v>14</v>
      </c>
      <c r="G251" t="s">
        <v>14</v>
      </c>
      <c r="H251" t="s">
        <v>19</v>
      </c>
      <c r="I251">
        <v>28</v>
      </c>
      <c r="J251" s="3">
        <f t="shared" si="6"/>
        <v>45677.166666666664</v>
      </c>
      <c r="K251" t="str">
        <f>TEXT(tblSales[[#This Row],[Date]],"ddd")</f>
        <v>Mon</v>
      </c>
      <c r="L251" s="4">
        <f t="shared" si="7"/>
        <v>4</v>
      </c>
    </row>
    <row r="252" spans="1:12" x14ac:dyDescent="0.45">
      <c r="A252" s="1">
        <v>45677</v>
      </c>
      <c r="B252" s="2">
        <v>0.20833333333333334</v>
      </c>
      <c r="C252" t="s">
        <v>25</v>
      </c>
      <c r="D252" t="s">
        <v>10</v>
      </c>
      <c r="E252">
        <v>3</v>
      </c>
      <c r="F252">
        <v>18</v>
      </c>
      <c r="G252" t="s">
        <v>14</v>
      </c>
      <c r="H252" t="s">
        <v>19</v>
      </c>
      <c r="I252">
        <v>54</v>
      </c>
      <c r="J252" s="3">
        <f t="shared" si="6"/>
        <v>45677.208333333336</v>
      </c>
      <c r="K252" t="str">
        <f>TEXT(tblSales[[#This Row],[Date]],"ddd")</f>
        <v>Mon</v>
      </c>
      <c r="L252" s="4">
        <f t="shared" si="7"/>
        <v>5</v>
      </c>
    </row>
    <row r="253" spans="1:12" x14ac:dyDescent="0.45">
      <c r="A253" s="1">
        <v>45677</v>
      </c>
      <c r="B253" s="2">
        <v>0.20833333333333334</v>
      </c>
      <c r="C253" t="s">
        <v>25</v>
      </c>
      <c r="D253" t="s">
        <v>10</v>
      </c>
      <c r="E253">
        <v>3</v>
      </c>
      <c r="F253">
        <v>18</v>
      </c>
      <c r="G253" t="s">
        <v>14</v>
      </c>
      <c r="H253" t="s">
        <v>12</v>
      </c>
      <c r="I253">
        <v>54</v>
      </c>
      <c r="J253" s="3">
        <f t="shared" si="6"/>
        <v>45677.208333333336</v>
      </c>
      <c r="K253" t="str">
        <f>TEXT(tblSales[[#This Row],[Date]],"ddd")</f>
        <v>Mon</v>
      </c>
      <c r="L253" s="4">
        <f t="shared" si="7"/>
        <v>5</v>
      </c>
    </row>
    <row r="254" spans="1:12" x14ac:dyDescent="0.45">
      <c r="A254" s="1">
        <v>45677</v>
      </c>
      <c r="B254" s="2">
        <v>0.29166666666666669</v>
      </c>
      <c r="C254" t="s">
        <v>26</v>
      </c>
      <c r="D254" t="s">
        <v>10</v>
      </c>
      <c r="E254">
        <v>1</v>
      </c>
      <c r="F254">
        <v>17</v>
      </c>
      <c r="G254" t="s">
        <v>14</v>
      </c>
      <c r="H254" t="s">
        <v>19</v>
      </c>
      <c r="I254">
        <v>17</v>
      </c>
      <c r="J254" s="3">
        <f t="shared" si="6"/>
        <v>45677.291666666664</v>
      </c>
      <c r="K254" t="str">
        <f>TEXT(tblSales[[#This Row],[Date]],"ddd")</f>
        <v>Mon</v>
      </c>
      <c r="L254" s="4">
        <f t="shared" si="7"/>
        <v>7</v>
      </c>
    </row>
    <row r="255" spans="1:12" x14ac:dyDescent="0.45">
      <c r="A255" s="1">
        <v>45677</v>
      </c>
      <c r="B255" s="2">
        <v>0.41666666666666669</v>
      </c>
      <c r="C255" t="s">
        <v>9</v>
      </c>
      <c r="D255" t="s">
        <v>10</v>
      </c>
      <c r="E255">
        <v>3</v>
      </c>
      <c r="F255">
        <v>6</v>
      </c>
      <c r="G255" t="s">
        <v>14</v>
      </c>
      <c r="H255" t="s">
        <v>12</v>
      </c>
      <c r="I255">
        <v>18</v>
      </c>
      <c r="J255" s="3">
        <f t="shared" si="6"/>
        <v>45677.416666666664</v>
      </c>
      <c r="K255" t="str">
        <f>TEXT(tblSales[[#This Row],[Date]],"ddd")</f>
        <v>Mon</v>
      </c>
      <c r="L255" s="4">
        <f t="shared" si="7"/>
        <v>10</v>
      </c>
    </row>
    <row r="256" spans="1:12" x14ac:dyDescent="0.45">
      <c r="A256" s="1">
        <v>45677</v>
      </c>
      <c r="B256" s="2">
        <v>0.54166666666666663</v>
      </c>
      <c r="C256" t="s">
        <v>22</v>
      </c>
      <c r="D256" t="s">
        <v>16</v>
      </c>
      <c r="E256">
        <v>3</v>
      </c>
      <c r="F256">
        <v>16</v>
      </c>
      <c r="G256" t="s">
        <v>23</v>
      </c>
      <c r="H256" t="s">
        <v>19</v>
      </c>
      <c r="I256">
        <v>48</v>
      </c>
      <c r="J256" s="3">
        <f t="shared" si="6"/>
        <v>45677.541666666664</v>
      </c>
      <c r="K256" t="str">
        <f>TEXT(tblSales[[#This Row],[Date]],"ddd")</f>
        <v>Mon</v>
      </c>
      <c r="L256" s="4">
        <f t="shared" si="7"/>
        <v>13</v>
      </c>
    </row>
    <row r="257" spans="1:12" x14ac:dyDescent="0.45">
      <c r="A257" s="1">
        <v>45677</v>
      </c>
      <c r="B257" s="2">
        <v>0.58333333333333337</v>
      </c>
      <c r="C257" t="s">
        <v>18</v>
      </c>
      <c r="D257" t="s">
        <v>10</v>
      </c>
      <c r="E257">
        <v>2</v>
      </c>
      <c r="F257">
        <v>8</v>
      </c>
      <c r="G257" t="s">
        <v>11</v>
      </c>
      <c r="H257" t="s">
        <v>12</v>
      </c>
      <c r="I257">
        <v>16</v>
      </c>
      <c r="J257" s="3">
        <f t="shared" si="6"/>
        <v>45677.583333333336</v>
      </c>
      <c r="K257" t="str">
        <f>TEXT(tblSales[[#This Row],[Date]],"ddd")</f>
        <v>Mon</v>
      </c>
      <c r="L257" s="4">
        <f t="shared" si="7"/>
        <v>14</v>
      </c>
    </row>
    <row r="258" spans="1:12" x14ac:dyDescent="0.45">
      <c r="A258" s="1">
        <v>45677</v>
      </c>
      <c r="B258" s="2">
        <v>0.625</v>
      </c>
      <c r="C258" t="s">
        <v>18</v>
      </c>
      <c r="D258" t="s">
        <v>10</v>
      </c>
      <c r="E258">
        <v>3</v>
      </c>
      <c r="F258">
        <v>8</v>
      </c>
      <c r="G258" t="s">
        <v>11</v>
      </c>
      <c r="H258" t="s">
        <v>19</v>
      </c>
      <c r="I258">
        <v>24</v>
      </c>
      <c r="J258" s="3">
        <f t="shared" ref="J258:J321" si="8">A258+B258</f>
        <v>45677.625</v>
      </c>
      <c r="K258" t="str">
        <f>TEXT(tblSales[[#This Row],[Date]],"ddd")</f>
        <v>Mon</v>
      </c>
      <c r="L258" s="4">
        <f t="shared" ref="L258:L321" si="9" xml:space="preserve"> HOUR(B258)</f>
        <v>15</v>
      </c>
    </row>
    <row r="259" spans="1:12" x14ac:dyDescent="0.45">
      <c r="A259" s="1">
        <v>45677</v>
      </c>
      <c r="B259" s="2">
        <v>0.625</v>
      </c>
      <c r="C259" t="s">
        <v>18</v>
      </c>
      <c r="D259" t="s">
        <v>10</v>
      </c>
      <c r="E259">
        <v>2</v>
      </c>
      <c r="F259">
        <v>8</v>
      </c>
      <c r="G259" t="s">
        <v>11</v>
      </c>
      <c r="H259" t="s">
        <v>19</v>
      </c>
      <c r="I259">
        <v>16</v>
      </c>
      <c r="J259" s="3">
        <f t="shared" si="8"/>
        <v>45677.625</v>
      </c>
      <c r="K259" t="str">
        <f>TEXT(tblSales[[#This Row],[Date]],"ddd")</f>
        <v>Mon</v>
      </c>
      <c r="L259" s="4">
        <f t="shared" si="9"/>
        <v>15</v>
      </c>
    </row>
    <row r="260" spans="1:12" x14ac:dyDescent="0.45">
      <c r="A260" s="1">
        <v>45677</v>
      </c>
      <c r="B260" s="2">
        <v>0.66666666666666663</v>
      </c>
      <c r="C260" t="s">
        <v>15</v>
      </c>
      <c r="D260" t="s">
        <v>16</v>
      </c>
      <c r="E260">
        <v>1</v>
      </c>
      <c r="F260">
        <v>10</v>
      </c>
      <c r="G260" t="s">
        <v>14</v>
      </c>
      <c r="H260" t="s">
        <v>12</v>
      </c>
      <c r="I260">
        <v>10</v>
      </c>
      <c r="J260" s="3">
        <f t="shared" si="8"/>
        <v>45677.666666666664</v>
      </c>
      <c r="K260" t="str">
        <f>TEXT(tblSales[[#This Row],[Date]],"ddd")</f>
        <v>Mon</v>
      </c>
      <c r="L260" s="4">
        <f t="shared" si="9"/>
        <v>16</v>
      </c>
    </row>
    <row r="261" spans="1:12" x14ac:dyDescent="0.45">
      <c r="A261" s="1">
        <v>45677</v>
      </c>
      <c r="B261" s="2">
        <v>0.66666666666666663</v>
      </c>
      <c r="C261" t="s">
        <v>25</v>
      </c>
      <c r="D261" t="s">
        <v>10</v>
      </c>
      <c r="E261">
        <v>1</v>
      </c>
      <c r="F261">
        <v>18</v>
      </c>
      <c r="G261" t="s">
        <v>14</v>
      </c>
      <c r="H261" t="s">
        <v>12</v>
      </c>
      <c r="I261">
        <v>18</v>
      </c>
      <c r="J261" s="3">
        <f t="shared" si="8"/>
        <v>45677.666666666664</v>
      </c>
      <c r="K261" t="str">
        <f>TEXT(tblSales[[#This Row],[Date]],"ddd")</f>
        <v>Mon</v>
      </c>
      <c r="L261" s="4">
        <f t="shared" si="9"/>
        <v>16</v>
      </c>
    </row>
    <row r="262" spans="1:12" x14ac:dyDescent="0.45">
      <c r="A262" s="1">
        <v>45677</v>
      </c>
      <c r="B262" s="2">
        <v>0.66666666666666663</v>
      </c>
      <c r="C262" t="s">
        <v>18</v>
      </c>
      <c r="D262" t="s">
        <v>10</v>
      </c>
      <c r="E262">
        <v>2</v>
      </c>
      <c r="F262">
        <v>8</v>
      </c>
      <c r="G262" t="s">
        <v>14</v>
      </c>
      <c r="H262" t="s">
        <v>17</v>
      </c>
      <c r="I262">
        <v>16</v>
      </c>
      <c r="J262" s="3">
        <f t="shared" si="8"/>
        <v>45677.666666666664</v>
      </c>
      <c r="K262" t="str">
        <f>TEXT(tblSales[[#This Row],[Date]],"ddd")</f>
        <v>Mon</v>
      </c>
      <c r="L262" s="4">
        <f t="shared" si="9"/>
        <v>16</v>
      </c>
    </row>
    <row r="263" spans="1:12" x14ac:dyDescent="0.45">
      <c r="A263" s="1">
        <v>45677</v>
      </c>
      <c r="B263" s="2">
        <v>0.75</v>
      </c>
      <c r="C263" t="s">
        <v>22</v>
      </c>
      <c r="D263" t="s">
        <v>16</v>
      </c>
      <c r="E263">
        <v>1</v>
      </c>
      <c r="F263">
        <v>16</v>
      </c>
      <c r="G263" t="s">
        <v>14</v>
      </c>
      <c r="H263" t="s">
        <v>12</v>
      </c>
      <c r="I263">
        <v>16</v>
      </c>
      <c r="J263" s="3">
        <f t="shared" si="8"/>
        <v>45677.75</v>
      </c>
      <c r="K263" t="str">
        <f>TEXT(tblSales[[#This Row],[Date]],"ddd")</f>
        <v>Mon</v>
      </c>
      <c r="L263" s="4">
        <f t="shared" si="9"/>
        <v>18</v>
      </c>
    </row>
    <row r="264" spans="1:12" x14ac:dyDescent="0.45">
      <c r="A264" s="1">
        <v>45677</v>
      </c>
      <c r="B264" s="2">
        <v>0.79166666666666663</v>
      </c>
      <c r="C264" t="s">
        <v>24</v>
      </c>
      <c r="D264" t="s">
        <v>16</v>
      </c>
      <c r="E264">
        <v>2</v>
      </c>
      <c r="F264">
        <v>12</v>
      </c>
      <c r="G264" t="s">
        <v>23</v>
      </c>
      <c r="H264" t="s">
        <v>12</v>
      </c>
      <c r="I264">
        <v>24</v>
      </c>
      <c r="J264" s="3">
        <f t="shared" si="8"/>
        <v>45677.791666666664</v>
      </c>
      <c r="K264" t="str">
        <f>TEXT(tblSales[[#This Row],[Date]],"ddd")</f>
        <v>Mon</v>
      </c>
      <c r="L264" s="4">
        <f t="shared" si="9"/>
        <v>19</v>
      </c>
    </row>
    <row r="265" spans="1:12" x14ac:dyDescent="0.45">
      <c r="A265" s="1">
        <v>45677</v>
      </c>
      <c r="B265" s="2">
        <v>0.83333333333333337</v>
      </c>
      <c r="C265" t="s">
        <v>13</v>
      </c>
      <c r="D265" t="s">
        <v>10</v>
      </c>
      <c r="E265">
        <v>1</v>
      </c>
      <c r="F265">
        <v>9</v>
      </c>
      <c r="G265" t="s">
        <v>14</v>
      </c>
      <c r="H265" t="s">
        <v>12</v>
      </c>
      <c r="I265">
        <v>9</v>
      </c>
      <c r="J265" s="3">
        <f t="shared" si="8"/>
        <v>45677.833333333336</v>
      </c>
      <c r="K265" t="str">
        <f>TEXT(tblSales[[#This Row],[Date]],"ddd")</f>
        <v>Mon</v>
      </c>
      <c r="L265" s="4">
        <f t="shared" si="9"/>
        <v>20</v>
      </c>
    </row>
    <row r="266" spans="1:12" x14ac:dyDescent="0.45">
      <c r="A266" s="1">
        <v>45677</v>
      </c>
      <c r="B266" s="2">
        <v>0.83333333333333337</v>
      </c>
      <c r="C266" t="s">
        <v>9</v>
      </c>
      <c r="D266" t="s">
        <v>10</v>
      </c>
      <c r="E266">
        <v>3</v>
      </c>
      <c r="F266">
        <v>6</v>
      </c>
      <c r="G266" t="s">
        <v>14</v>
      </c>
      <c r="H266" t="s">
        <v>17</v>
      </c>
      <c r="I266">
        <v>18</v>
      </c>
      <c r="J266" s="3">
        <f t="shared" si="8"/>
        <v>45677.833333333336</v>
      </c>
      <c r="K266" t="str">
        <f>TEXT(tblSales[[#This Row],[Date]],"ddd")</f>
        <v>Mon</v>
      </c>
      <c r="L266" s="4">
        <f t="shared" si="9"/>
        <v>20</v>
      </c>
    </row>
    <row r="267" spans="1:12" x14ac:dyDescent="0.45">
      <c r="A267" s="1">
        <v>45677</v>
      </c>
      <c r="B267" s="2">
        <v>0.83333333333333337</v>
      </c>
      <c r="C267" t="s">
        <v>24</v>
      </c>
      <c r="D267" t="s">
        <v>16</v>
      </c>
      <c r="E267">
        <v>3</v>
      </c>
      <c r="F267">
        <v>12</v>
      </c>
      <c r="G267" t="s">
        <v>11</v>
      </c>
      <c r="H267" t="s">
        <v>19</v>
      </c>
      <c r="I267">
        <v>36</v>
      </c>
      <c r="J267" s="3">
        <f t="shared" si="8"/>
        <v>45677.833333333336</v>
      </c>
      <c r="K267" t="str">
        <f>TEXT(tblSales[[#This Row],[Date]],"ddd")</f>
        <v>Mon</v>
      </c>
      <c r="L267" s="4">
        <f t="shared" si="9"/>
        <v>20</v>
      </c>
    </row>
    <row r="268" spans="1:12" x14ac:dyDescent="0.45">
      <c r="A268" s="1">
        <v>45678</v>
      </c>
      <c r="B268" s="2">
        <v>0</v>
      </c>
      <c r="C268" t="s">
        <v>18</v>
      </c>
      <c r="D268" t="s">
        <v>10</v>
      </c>
      <c r="E268">
        <v>1</v>
      </c>
      <c r="F268">
        <v>8</v>
      </c>
      <c r="G268" t="s">
        <v>11</v>
      </c>
      <c r="H268" t="s">
        <v>12</v>
      </c>
      <c r="I268">
        <v>8</v>
      </c>
      <c r="J268" s="3">
        <f t="shared" si="8"/>
        <v>45678</v>
      </c>
      <c r="K268" t="str">
        <f>TEXT(tblSales[[#This Row],[Date]],"ddd")</f>
        <v>Tue</v>
      </c>
      <c r="L268" s="4">
        <f t="shared" si="9"/>
        <v>0</v>
      </c>
    </row>
    <row r="269" spans="1:12" x14ac:dyDescent="0.45">
      <c r="A269" s="1">
        <v>45678</v>
      </c>
      <c r="B269" s="2">
        <v>0.16666666666666666</v>
      </c>
      <c r="C269" t="s">
        <v>20</v>
      </c>
      <c r="D269" t="s">
        <v>16</v>
      </c>
      <c r="E269">
        <v>3</v>
      </c>
      <c r="F269">
        <v>14</v>
      </c>
      <c r="G269" t="s">
        <v>14</v>
      </c>
      <c r="H269" t="s">
        <v>19</v>
      </c>
      <c r="I269">
        <v>42</v>
      </c>
      <c r="J269" s="3">
        <f t="shared" si="8"/>
        <v>45678.166666666664</v>
      </c>
      <c r="K269" t="str">
        <f>TEXT(tblSales[[#This Row],[Date]],"ddd")</f>
        <v>Tue</v>
      </c>
      <c r="L269" s="4">
        <f t="shared" si="9"/>
        <v>4</v>
      </c>
    </row>
    <row r="270" spans="1:12" x14ac:dyDescent="0.45">
      <c r="A270" s="1">
        <v>45678</v>
      </c>
      <c r="B270" s="2">
        <v>0.16666666666666666</v>
      </c>
      <c r="C270" t="s">
        <v>21</v>
      </c>
      <c r="D270" t="s">
        <v>16</v>
      </c>
      <c r="E270">
        <v>1</v>
      </c>
      <c r="F270">
        <v>15</v>
      </c>
      <c r="G270" t="s">
        <v>23</v>
      </c>
      <c r="H270" t="s">
        <v>12</v>
      </c>
      <c r="I270">
        <v>15</v>
      </c>
      <c r="J270" s="3">
        <f t="shared" si="8"/>
        <v>45678.166666666664</v>
      </c>
      <c r="K270" t="str">
        <f>TEXT(tblSales[[#This Row],[Date]],"ddd")</f>
        <v>Tue</v>
      </c>
      <c r="L270" s="4">
        <f t="shared" si="9"/>
        <v>4</v>
      </c>
    </row>
    <row r="271" spans="1:12" x14ac:dyDescent="0.45">
      <c r="A271" s="1">
        <v>45678</v>
      </c>
      <c r="B271" s="2">
        <v>0.33333333333333331</v>
      </c>
      <c r="C271" t="s">
        <v>26</v>
      </c>
      <c r="D271" t="s">
        <v>10</v>
      </c>
      <c r="E271">
        <v>3</v>
      </c>
      <c r="F271">
        <v>17</v>
      </c>
      <c r="G271" t="s">
        <v>14</v>
      </c>
      <c r="H271" t="s">
        <v>17</v>
      </c>
      <c r="I271">
        <v>51</v>
      </c>
      <c r="J271" s="3">
        <f t="shared" si="8"/>
        <v>45678.333333333336</v>
      </c>
      <c r="K271" t="str">
        <f>TEXT(tblSales[[#This Row],[Date]],"ddd")</f>
        <v>Tue</v>
      </c>
      <c r="L271" s="4">
        <f t="shared" si="9"/>
        <v>8</v>
      </c>
    </row>
    <row r="272" spans="1:12" x14ac:dyDescent="0.45">
      <c r="A272" s="1">
        <v>45678</v>
      </c>
      <c r="B272" s="2">
        <v>0.375</v>
      </c>
      <c r="C272" t="s">
        <v>24</v>
      </c>
      <c r="D272" t="s">
        <v>16</v>
      </c>
      <c r="E272">
        <v>2</v>
      </c>
      <c r="F272">
        <v>12</v>
      </c>
      <c r="G272" t="s">
        <v>14</v>
      </c>
      <c r="H272" t="s">
        <v>12</v>
      </c>
      <c r="I272">
        <v>24</v>
      </c>
      <c r="J272" s="3">
        <f t="shared" si="8"/>
        <v>45678.375</v>
      </c>
      <c r="K272" t="str">
        <f>TEXT(tblSales[[#This Row],[Date]],"ddd")</f>
        <v>Tue</v>
      </c>
      <c r="L272" s="4">
        <f t="shared" si="9"/>
        <v>9</v>
      </c>
    </row>
    <row r="273" spans="1:12" x14ac:dyDescent="0.45">
      <c r="A273" s="1">
        <v>45678</v>
      </c>
      <c r="B273" s="2">
        <v>0.375</v>
      </c>
      <c r="C273" t="s">
        <v>20</v>
      </c>
      <c r="D273" t="s">
        <v>16</v>
      </c>
      <c r="E273">
        <v>1</v>
      </c>
      <c r="F273">
        <v>14</v>
      </c>
      <c r="G273" t="s">
        <v>23</v>
      </c>
      <c r="H273" t="s">
        <v>12</v>
      </c>
      <c r="I273">
        <v>14</v>
      </c>
      <c r="J273" s="3">
        <f t="shared" si="8"/>
        <v>45678.375</v>
      </c>
      <c r="K273" t="str">
        <f>TEXT(tblSales[[#This Row],[Date]],"ddd")</f>
        <v>Tue</v>
      </c>
      <c r="L273" s="4">
        <f t="shared" si="9"/>
        <v>9</v>
      </c>
    </row>
    <row r="274" spans="1:12" x14ac:dyDescent="0.45">
      <c r="A274" s="1">
        <v>45678</v>
      </c>
      <c r="B274" s="2">
        <v>0.45833333333333331</v>
      </c>
      <c r="C274" t="s">
        <v>22</v>
      </c>
      <c r="D274" t="s">
        <v>16</v>
      </c>
      <c r="E274">
        <v>3</v>
      </c>
      <c r="F274">
        <v>16</v>
      </c>
      <c r="G274" t="s">
        <v>14</v>
      </c>
      <c r="H274" t="s">
        <v>19</v>
      </c>
      <c r="I274">
        <v>48</v>
      </c>
      <c r="J274" s="3">
        <f t="shared" si="8"/>
        <v>45678.458333333336</v>
      </c>
      <c r="K274" t="str">
        <f>TEXT(tblSales[[#This Row],[Date]],"ddd")</f>
        <v>Tue</v>
      </c>
      <c r="L274" s="4">
        <f t="shared" si="9"/>
        <v>11</v>
      </c>
    </row>
    <row r="275" spans="1:12" x14ac:dyDescent="0.45">
      <c r="A275" s="1">
        <v>45678</v>
      </c>
      <c r="B275" s="2">
        <v>0.5</v>
      </c>
      <c r="C275" t="s">
        <v>13</v>
      </c>
      <c r="D275" t="s">
        <v>10</v>
      </c>
      <c r="E275">
        <v>3</v>
      </c>
      <c r="F275">
        <v>9</v>
      </c>
      <c r="G275" t="s">
        <v>11</v>
      </c>
      <c r="H275" t="s">
        <v>17</v>
      </c>
      <c r="I275">
        <v>27</v>
      </c>
      <c r="J275" s="3">
        <f t="shared" si="8"/>
        <v>45678.5</v>
      </c>
      <c r="K275" t="str">
        <f>TEXT(tblSales[[#This Row],[Date]],"ddd")</f>
        <v>Tue</v>
      </c>
      <c r="L275" s="4">
        <f t="shared" si="9"/>
        <v>12</v>
      </c>
    </row>
    <row r="276" spans="1:12" x14ac:dyDescent="0.45">
      <c r="A276" s="1">
        <v>45678</v>
      </c>
      <c r="B276" s="2">
        <v>0.66666666666666663</v>
      </c>
      <c r="C276" t="s">
        <v>15</v>
      </c>
      <c r="D276" t="s">
        <v>16</v>
      </c>
      <c r="E276">
        <v>2</v>
      </c>
      <c r="F276">
        <v>10</v>
      </c>
      <c r="G276" t="s">
        <v>14</v>
      </c>
      <c r="H276" t="s">
        <v>12</v>
      </c>
      <c r="I276">
        <v>20</v>
      </c>
      <c r="J276" s="3">
        <f t="shared" si="8"/>
        <v>45678.666666666664</v>
      </c>
      <c r="K276" t="str">
        <f>TEXT(tblSales[[#This Row],[Date]],"ddd")</f>
        <v>Tue</v>
      </c>
      <c r="L276" s="4">
        <f t="shared" si="9"/>
        <v>16</v>
      </c>
    </row>
    <row r="277" spans="1:12" x14ac:dyDescent="0.45">
      <c r="A277" s="1">
        <v>45678</v>
      </c>
      <c r="B277" s="2">
        <v>0.66666666666666663</v>
      </c>
      <c r="C277" t="s">
        <v>20</v>
      </c>
      <c r="D277" t="s">
        <v>16</v>
      </c>
      <c r="E277">
        <v>1</v>
      </c>
      <c r="F277">
        <v>14</v>
      </c>
      <c r="G277" t="s">
        <v>14</v>
      </c>
      <c r="H277" t="s">
        <v>12</v>
      </c>
      <c r="I277">
        <v>14</v>
      </c>
      <c r="J277" s="3">
        <f t="shared" si="8"/>
        <v>45678.666666666664</v>
      </c>
      <c r="K277" t="str">
        <f>TEXT(tblSales[[#This Row],[Date]],"ddd")</f>
        <v>Tue</v>
      </c>
      <c r="L277" s="4">
        <f t="shared" si="9"/>
        <v>16</v>
      </c>
    </row>
    <row r="278" spans="1:12" x14ac:dyDescent="0.45">
      <c r="A278" s="1">
        <v>45678</v>
      </c>
      <c r="B278" s="2">
        <v>0.75</v>
      </c>
      <c r="C278" t="s">
        <v>25</v>
      </c>
      <c r="D278" t="s">
        <v>10</v>
      </c>
      <c r="E278">
        <v>2</v>
      </c>
      <c r="F278">
        <v>18</v>
      </c>
      <c r="G278" t="s">
        <v>11</v>
      </c>
      <c r="H278" t="s">
        <v>12</v>
      </c>
      <c r="I278">
        <v>36</v>
      </c>
      <c r="J278" s="3">
        <f t="shared" si="8"/>
        <v>45678.75</v>
      </c>
      <c r="K278" t="str">
        <f>TEXT(tblSales[[#This Row],[Date]],"ddd")</f>
        <v>Tue</v>
      </c>
      <c r="L278" s="4">
        <f t="shared" si="9"/>
        <v>18</v>
      </c>
    </row>
    <row r="279" spans="1:12" x14ac:dyDescent="0.45">
      <c r="A279" s="1">
        <v>45678</v>
      </c>
      <c r="B279" s="2">
        <v>0.91666666666666663</v>
      </c>
      <c r="C279" t="s">
        <v>25</v>
      </c>
      <c r="D279" t="s">
        <v>10</v>
      </c>
      <c r="E279">
        <v>3</v>
      </c>
      <c r="F279">
        <v>18</v>
      </c>
      <c r="G279" t="s">
        <v>14</v>
      </c>
      <c r="H279" t="s">
        <v>19</v>
      </c>
      <c r="I279">
        <v>54</v>
      </c>
      <c r="J279" s="3">
        <f t="shared" si="8"/>
        <v>45678.916666666664</v>
      </c>
      <c r="K279" t="str">
        <f>TEXT(tblSales[[#This Row],[Date]],"ddd")</f>
        <v>Tue</v>
      </c>
      <c r="L279" s="4">
        <f t="shared" si="9"/>
        <v>22</v>
      </c>
    </row>
    <row r="280" spans="1:12" x14ac:dyDescent="0.45">
      <c r="A280" s="1">
        <v>45678</v>
      </c>
      <c r="B280" s="2">
        <v>0.91666666666666663</v>
      </c>
      <c r="C280" t="s">
        <v>18</v>
      </c>
      <c r="D280" t="s">
        <v>10</v>
      </c>
      <c r="E280">
        <v>3</v>
      </c>
      <c r="F280">
        <v>8</v>
      </c>
      <c r="G280" t="s">
        <v>14</v>
      </c>
      <c r="H280" t="s">
        <v>12</v>
      </c>
      <c r="I280">
        <v>24</v>
      </c>
      <c r="J280" s="3">
        <f t="shared" si="8"/>
        <v>45678.916666666664</v>
      </c>
      <c r="K280" t="str">
        <f>TEXT(tblSales[[#This Row],[Date]],"ddd")</f>
        <v>Tue</v>
      </c>
      <c r="L280" s="4">
        <f t="shared" si="9"/>
        <v>22</v>
      </c>
    </row>
    <row r="281" spans="1:12" x14ac:dyDescent="0.45">
      <c r="A281" s="1">
        <v>45678</v>
      </c>
      <c r="B281" s="2">
        <v>0.95833333333333337</v>
      </c>
      <c r="C281" t="s">
        <v>25</v>
      </c>
      <c r="D281" t="s">
        <v>10</v>
      </c>
      <c r="E281">
        <v>2</v>
      </c>
      <c r="F281">
        <v>18</v>
      </c>
      <c r="G281" t="s">
        <v>14</v>
      </c>
      <c r="H281" t="s">
        <v>19</v>
      </c>
      <c r="I281">
        <v>36</v>
      </c>
      <c r="J281" s="3">
        <f t="shared" si="8"/>
        <v>45678.958333333336</v>
      </c>
      <c r="K281" t="str">
        <f>TEXT(tblSales[[#This Row],[Date]],"ddd")</f>
        <v>Tue</v>
      </c>
      <c r="L281" s="4">
        <f t="shared" si="9"/>
        <v>23</v>
      </c>
    </row>
    <row r="282" spans="1:12" x14ac:dyDescent="0.45">
      <c r="A282" s="1">
        <v>45679</v>
      </c>
      <c r="B282" s="2">
        <v>0</v>
      </c>
      <c r="C282" t="s">
        <v>26</v>
      </c>
      <c r="D282" t="s">
        <v>10</v>
      </c>
      <c r="E282">
        <v>2</v>
      </c>
      <c r="F282">
        <v>17</v>
      </c>
      <c r="G282" t="s">
        <v>11</v>
      </c>
      <c r="H282" t="s">
        <v>12</v>
      </c>
      <c r="I282">
        <v>34</v>
      </c>
      <c r="J282" s="3">
        <f t="shared" si="8"/>
        <v>45679</v>
      </c>
      <c r="K282" t="str">
        <f>TEXT(tblSales[[#This Row],[Date]],"ddd")</f>
        <v>Wed</v>
      </c>
      <c r="L282" s="4">
        <f t="shared" si="9"/>
        <v>0</v>
      </c>
    </row>
    <row r="283" spans="1:12" x14ac:dyDescent="0.45">
      <c r="A283" s="1">
        <v>45679</v>
      </c>
      <c r="B283" s="2">
        <v>4.1666666666666664E-2</v>
      </c>
      <c r="C283" t="s">
        <v>24</v>
      </c>
      <c r="D283" t="s">
        <v>16</v>
      </c>
      <c r="E283">
        <v>1</v>
      </c>
      <c r="F283">
        <v>12</v>
      </c>
      <c r="G283" t="s">
        <v>11</v>
      </c>
      <c r="H283" t="s">
        <v>19</v>
      </c>
      <c r="I283">
        <v>12</v>
      </c>
      <c r="J283" s="3">
        <f t="shared" si="8"/>
        <v>45679.041666666664</v>
      </c>
      <c r="K283" t="str">
        <f>TEXT(tblSales[[#This Row],[Date]],"ddd")</f>
        <v>Wed</v>
      </c>
      <c r="L283" s="4">
        <f t="shared" si="9"/>
        <v>1</v>
      </c>
    </row>
    <row r="284" spans="1:12" x14ac:dyDescent="0.45">
      <c r="A284" s="1">
        <v>45679</v>
      </c>
      <c r="B284" s="2">
        <v>4.1666666666666664E-2</v>
      </c>
      <c r="C284" t="s">
        <v>13</v>
      </c>
      <c r="D284" t="s">
        <v>10</v>
      </c>
      <c r="E284">
        <v>2</v>
      </c>
      <c r="F284">
        <v>9</v>
      </c>
      <c r="G284" t="s">
        <v>14</v>
      </c>
      <c r="H284" t="s">
        <v>19</v>
      </c>
      <c r="I284">
        <v>18</v>
      </c>
      <c r="J284" s="3">
        <f t="shared" si="8"/>
        <v>45679.041666666664</v>
      </c>
      <c r="K284" t="str">
        <f>TEXT(tblSales[[#This Row],[Date]],"ddd")</f>
        <v>Wed</v>
      </c>
      <c r="L284" s="4">
        <f t="shared" si="9"/>
        <v>1</v>
      </c>
    </row>
    <row r="285" spans="1:12" x14ac:dyDescent="0.45">
      <c r="A285" s="1">
        <v>45679</v>
      </c>
      <c r="B285" s="2">
        <v>0.16666666666666666</v>
      </c>
      <c r="C285" t="s">
        <v>25</v>
      </c>
      <c r="D285" t="s">
        <v>10</v>
      </c>
      <c r="E285">
        <v>3</v>
      </c>
      <c r="F285">
        <v>18</v>
      </c>
      <c r="G285" t="s">
        <v>23</v>
      </c>
      <c r="H285" t="s">
        <v>12</v>
      </c>
      <c r="I285">
        <v>54</v>
      </c>
      <c r="J285" s="3">
        <f t="shared" si="8"/>
        <v>45679.166666666664</v>
      </c>
      <c r="K285" t="str">
        <f>TEXT(tblSales[[#This Row],[Date]],"ddd")</f>
        <v>Wed</v>
      </c>
      <c r="L285" s="4">
        <f t="shared" si="9"/>
        <v>4</v>
      </c>
    </row>
    <row r="286" spans="1:12" x14ac:dyDescent="0.45">
      <c r="A286" s="1">
        <v>45679</v>
      </c>
      <c r="B286" s="2">
        <v>0.20833333333333334</v>
      </c>
      <c r="C286" t="s">
        <v>22</v>
      </c>
      <c r="D286" t="s">
        <v>16</v>
      </c>
      <c r="E286">
        <v>2</v>
      </c>
      <c r="F286">
        <v>16</v>
      </c>
      <c r="G286" t="s">
        <v>14</v>
      </c>
      <c r="H286" t="s">
        <v>12</v>
      </c>
      <c r="I286">
        <v>32</v>
      </c>
      <c r="J286" s="3">
        <f t="shared" si="8"/>
        <v>45679.208333333336</v>
      </c>
      <c r="K286" t="str">
        <f>TEXT(tblSales[[#This Row],[Date]],"ddd")</f>
        <v>Wed</v>
      </c>
      <c r="L286" s="4">
        <f t="shared" si="9"/>
        <v>5</v>
      </c>
    </row>
    <row r="287" spans="1:12" x14ac:dyDescent="0.45">
      <c r="A287" s="1">
        <v>45679</v>
      </c>
      <c r="B287" s="2">
        <v>0.20833333333333334</v>
      </c>
      <c r="C287" t="s">
        <v>13</v>
      </c>
      <c r="D287" t="s">
        <v>10</v>
      </c>
      <c r="E287">
        <v>3</v>
      </c>
      <c r="F287">
        <v>9</v>
      </c>
      <c r="G287" t="s">
        <v>14</v>
      </c>
      <c r="H287" t="s">
        <v>17</v>
      </c>
      <c r="I287">
        <v>27</v>
      </c>
      <c r="J287" s="3">
        <f t="shared" si="8"/>
        <v>45679.208333333336</v>
      </c>
      <c r="K287" t="str">
        <f>TEXT(tblSales[[#This Row],[Date]],"ddd")</f>
        <v>Wed</v>
      </c>
      <c r="L287" s="4">
        <f t="shared" si="9"/>
        <v>5</v>
      </c>
    </row>
    <row r="288" spans="1:12" x14ac:dyDescent="0.45">
      <c r="A288" s="1">
        <v>45679</v>
      </c>
      <c r="B288" s="2">
        <v>0.25</v>
      </c>
      <c r="C288" t="s">
        <v>13</v>
      </c>
      <c r="D288" t="s">
        <v>10</v>
      </c>
      <c r="E288">
        <v>1</v>
      </c>
      <c r="F288">
        <v>9</v>
      </c>
      <c r="G288" t="s">
        <v>11</v>
      </c>
      <c r="H288" t="s">
        <v>19</v>
      </c>
      <c r="I288">
        <v>9</v>
      </c>
      <c r="J288" s="3">
        <f t="shared" si="8"/>
        <v>45679.25</v>
      </c>
      <c r="K288" t="str">
        <f>TEXT(tblSales[[#This Row],[Date]],"ddd")</f>
        <v>Wed</v>
      </c>
      <c r="L288" s="4">
        <f t="shared" si="9"/>
        <v>6</v>
      </c>
    </row>
    <row r="289" spans="1:12" x14ac:dyDescent="0.45">
      <c r="A289" s="1">
        <v>45679</v>
      </c>
      <c r="B289" s="2">
        <v>0.25</v>
      </c>
      <c r="C289" t="s">
        <v>25</v>
      </c>
      <c r="D289" t="s">
        <v>10</v>
      </c>
      <c r="E289">
        <v>1</v>
      </c>
      <c r="F289">
        <v>18</v>
      </c>
      <c r="G289" t="s">
        <v>11</v>
      </c>
      <c r="H289" t="s">
        <v>17</v>
      </c>
      <c r="I289">
        <v>18</v>
      </c>
      <c r="J289" s="3">
        <f t="shared" si="8"/>
        <v>45679.25</v>
      </c>
      <c r="K289" t="str">
        <f>TEXT(tblSales[[#This Row],[Date]],"ddd")</f>
        <v>Wed</v>
      </c>
      <c r="L289" s="4">
        <f t="shared" si="9"/>
        <v>6</v>
      </c>
    </row>
    <row r="290" spans="1:12" x14ac:dyDescent="0.45">
      <c r="A290" s="1">
        <v>45679</v>
      </c>
      <c r="B290" s="2">
        <v>0.25</v>
      </c>
      <c r="C290" t="s">
        <v>13</v>
      </c>
      <c r="D290" t="s">
        <v>10</v>
      </c>
      <c r="E290">
        <v>2</v>
      </c>
      <c r="F290">
        <v>9</v>
      </c>
      <c r="G290" t="s">
        <v>11</v>
      </c>
      <c r="H290" t="s">
        <v>12</v>
      </c>
      <c r="I290">
        <v>18</v>
      </c>
      <c r="J290" s="3">
        <f t="shared" si="8"/>
        <v>45679.25</v>
      </c>
      <c r="K290" t="str">
        <f>TEXT(tblSales[[#This Row],[Date]],"ddd")</f>
        <v>Wed</v>
      </c>
      <c r="L290" s="4">
        <f t="shared" si="9"/>
        <v>6</v>
      </c>
    </row>
    <row r="291" spans="1:12" x14ac:dyDescent="0.45">
      <c r="A291" s="1">
        <v>45679</v>
      </c>
      <c r="B291" s="2">
        <v>0.29166666666666669</v>
      </c>
      <c r="C291" t="s">
        <v>25</v>
      </c>
      <c r="D291" t="s">
        <v>10</v>
      </c>
      <c r="E291">
        <v>2</v>
      </c>
      <c r="F291">
        <v>18</v>
      </c>
      <c r="G291" t="s">
        <v>14</v>
      </c>
      <c r="H291" t="s">
        <v>19</v>
      </c>
      <c r="I291">
        <v>36</v>
      </c>
      <c r="J291" s="3">
        <f t="shared" si="8"/>
        <v>45679.291666666664</v>
      </c>
      <c r="K291" t="str">
        <f>TEXT(tblSales[[#This Row],[Date]],"ddd")</f>
        <v>Wed</v>
      </c>
      <c r="L291" s="4">
        <f t="shared" si="9"/>
        <v>7</v>
      </c>
    </row>
    <row r="292" spans="1:12" x14ac:dyDescent="0.45">
      <c r="A292" s="1">
        <v>45679</v>
      </c>
      <c r="B292" s="2">
        <v>0.29166666666666669</v>
      </c>
      <c r="C292" t="s">
        <v>15</v>
      </c>
      <c r="D292" t="s">
        <v>16</v>
      </c>
      <c r="E292">
        <v>1</v>
      </c>
      <c r="F292">
        <v>10</v>
      </c>
      <c r="G292" t="s">
        <v>14</v>
      </c>
      <c r="H292" t="s">
        <v>12</v>
      </c>
      <c r="I292">
        <v>10</v>
      </c>
      <c r="J292" s="3">
        <f t="shared" si="8"/>
        <v>45679.291666666664</v>
      </c>
      <c r="K292" t="str">
        <f>TEXT(tblSales[[#This Row],[Date]],"ddd")</f>
        <v>Wed</v>
      </c>
      <c r="L292" s="4">
        <f t="shared" si="9"/>
        <v>7</v>
      </c>
    </row>
    <row r="293" spans="1:12" x14ac:dyDescent="0.45">
      <c r="A293" s="1">
        <v>45679</v>
      </c>
      <c r="B293" s="2">
        <v>0.45833333333333331</v>
      </c>
      <c r="C293" t="s">
        <v>24</v>
      </c>
      <c r="D293" t="s">
        <v>16</v>
      </c>
      <c r="E293">
        <v>2</v>
      </c>
      <c r="F293">
        <v>12</v>
      </c>
      <c r="G293" t="s">
        <v>14</v>
      </c>
      <c r="H293" t="s">
        <v>12</v>
      </c>
      <c r="I293">
        <v>24</v>
      </c>
      <c r="J293" s="3">
        <f t="shared" si="8"/>
        <v>45679.458333333336</v>
      </c>
      <c r="K293" t="str">
        <f>TEXT(tblSales[[#This Row],[Date]],"ddd")</f>
        <v>Wed</v>
      </c>
      <c r="L293" s="4">
        <f t="shared" si="9"/>
        <v>11</v>
      </c>
    </row>
    <row r="294" spans="1:12" x14ac:dyDescent="0.45">
      <c r="A294" s="1">
        <v>45679</v>
      </c>
      <c r="B294" s="2">
        <v>0.54166666666666663</v>
      </c>
      <c r="C294" t="s">
        <v>18</v>
      </c>
      <c r="D294" t="s">
        <v>10</v>
      </c>
      <c r="E294">
        <v>2</v>
      </c>
      <c r="F294">
        <v>8</v>
      </c>
      <c r="G294" t="s">
        <v>14</v>
      </c>
      <c r="H294" t="s">
        <v>17</v>
      </c>
      <c r="I294">
        <v>16</v>
      </c>
      <c r="J294" s="3">
        <f t="shared" si="8"/>
        <v>45679.541666666664</v>
      </c>
      <c r="K294" t="str">
        <f>TEXT(tblSales[[#This Row],[Date]],"ddd")</f>
        <v>Wed</v>
      </c>
      <c r="L294" s="4">
        <f t="shared" si="9"/>
        <v>13</v>
      </c>
    </row>
    <row r="295" spans="1:12" x14ac:dyDescent="0.45">
      <c r="A295" s="1">
        <v>45679</v>
      </c>
      <c r="B295" s="2">
        <v>0.66666666666666663</v>
      </c>
      <c r="C295" t="s">
        <v>21</v>
      </c>
      <c r="D295" t="s">
        <v>16</v>
      </c>
      <c r="E295">
        <v>2</v>
      </c>
      <c r="F295">
        <v>15</v>
      </c>
      <c r="G295" t="s">
        <v>11</v>
      </c>
      <c r="H295" t="s">
        <v>12</v>
      </c>
      <c r="I295">
        <v>30</v>
      </c>
      <c r="J295" s="3">
        <f t="shared" si="8"/>
        <v>45679.666666666664</v>
      </c>
      <c r="K295" t="str">
        <f>TEXT(tblSales[[#This Row],[Date]],"ddd")</f>
        <v>Wed</v>
      </c>
      <c r="L295" s="4">
        <f t="shared" si="9"/>
        <v>16</v>
      </c>
    </row>
    <row r="296" spans="1:12" x14ac:dyDescent="0.45">
      <c r="A296" s="1">
        <v>45679</v>
      </c>
      <c r="B296" s="2">
        <v>0.83333333333333337</v>
      </c>
      <c r="C296" t="s">
        <v>20</v>
      </c>
      <c r="D296" t="s">
        <v>16</v>
      </c>
      <c r="E296">
        <v>3</v>
      </c>
      <c r="F296">
        <v>14</v>
      </c>
      <c r="G296" t="s">
        <v>11</v>
      </c>
      <c r="H296" t="s">
        <v>17</v>
      </c>
      <c r="I296">
        <v>42</v>
      </c>
      <c r="J296" s="3">
        <f t="shared" si="8"/>
        <v>45679.833333333336</v>
      </c>
      <c r="K296" t="str">
        <f>TEXT(tblSales[[#This Row],[Date]],"ddd")</f>
        <v>Wed</v>
      </c>
      <c r="L296" s="4">
        <f t="shared" si="9"/>
        <v>20</v>
      </c>
    </row>
    <row r="297" spans="1:12" x14ac:dyDescent="0.45">
      <c r="A297" s="1">
        <v>45679</v>
      </c>
      <c r="B297" s="2">
        <v>0.83333333333333337</v>
      </c>
      <c r="C297" t="s">
        <v>18</v>
      </c>
      <c r="D297" t="s">
        <v>10</v>
      </c>
      <c r="E297">
        <v>3</v>
      </c>
      <c r="F297">
        <v>8</v>
      </c>
      <c r="G297" t="s">
        <v>14</v>
      </c>
      <c r="H297" t="s">
        <v>19</v>
      </c>
      <c r="I297">
        <v>24</v>
      </c>
      <c r="J297" s="3">
        <f t="shared" si="8"/>
        <v>45679.833333333336</v>
      </c>
      <c r="K297" t="str">
        <f>TEXT(tblSales[[#This Row],[Date]],"ddd")</f>
        <v>Wed</v>
      </c>
      <c r="L297" s="4">
        <f t="shared" si="9"/>
        <v>20</v>
      </c>
    </row>
    <row r="298" spans="1:12" x14ac:dyDescent="0.45">
      <c r="A298" s="1">
        <v>45680</v>
      </c>
      <c r="B298" s="2">
        <v>0.375</v>
      </c>
      <c r="C298" t="s">
        <v>25</v>
      </c>
      <c r="D298" t="s">
        <v>10</v>
      </c>
      <c r="E298">
        <v>2</v>
      </c>
      <c r="F298">
        <v>18</v>
      </c>
      <c r="G298" t="s">
        <v>14</v>
      </c>
      <c r="H298" t="s">
        <v>19</v>
      </c>
      <c r="I298">
        <v>36</v>
      </c>
      <c r="J298" s="3">
        <f t="shared" si="8"/>
        <v>45680.375</v>
      </c>
      <c r="K298" t="str">
        <f>TEXT(tblSales[[#This Row],[Date]],"ddd")</f>
        <v>Thu</v>
      </c>
      <c r="L298" s="4">
        <f t="shared" si="9"/>
        <v>9</v>
      </c>
    </row>
    <row r="299" spans="1:12" x14ac:dyDescent="0.45">
      <c r="A299" s="1">
        <v>45680</v>
      </c>
      <c r="B299" s="2">
        <v>0.5</v>
      </c>
      <c r="C299" t="s">
        <v>18</v>
      </c>
      <c r="D299" t="s">
        <v>10</v>
      </c>
      <c r="E299">
        <v>3</v>
      </c>
      <c r="F299">
        <v>8</v>
      </c>
      <c r="G299" t="s">
        <v>14</v>
      </c>
      <c r="H299" t="s">
        <v>19</v>
      </c>
      <c r="I299">
        <v>24</v>
      </c>
      <c r="J299" s="3">
        <f t="shared" si="8"/>
        <v>45680.5</v>
      </c>
      <c r="K299" t="str">
        <f>TEXT(tblSales[[#This Row],[Date]],"ddd")</f>
        <v>Thu</v>
      </c>
      <c r="L299" s="4">
        <f t="shared" si="9"/>
        <v>12</v>
      </c>
    </row>
    <row r="300" spans="1:12" x14ac:dyDescent="0.45">
      <c r="A300" s="1">
        <v>45680</v>
      </c>
      <c r="B300" s="2">
        <v>0.75</v>
      </c>
      <c r="C300" t="s">
        <v>9</v>
      </c>
      <c r="D300" t="s">
        <v>10</v>
      </c>
      <c r="E300">
        <v>2</v>
      </c>
      <c r="F300">
        <v>6</v>
      </c>
      <c r="G300" t="s">
        <v>14</v>
      </c>
      <c r="H300" t="s">
        <v>19</v>
      </c>
      <c r="I300">
        <v>12</v>
      </c>
      <c r="J300" s="3">
        <f t="shared" si="8"/>
        <v>45680.75</v>
      </c>
      <c r="K300" t="str">
        <f>TEXT(tblSales[[#This Row],[Date]],"ddd")</f>
        <v>Thu</v>
      </c>
      <c r="L300" s="4">
        <f t="shared" si="9"/>
        <v>18</v>
      </c>
    </row>
    <row r="301" spans="1:12" x14ac:dyDescent="0.45">
      <c r="A301" s="1">
        <v>45680</v>
      </c>
      <c r="B301" s="2">
        <v>0.75</v>
      </c>
      <c r="C301" t="s">
        <v>26</v>
      </c>
      <c r="D301" t="s">
        <v>10</v>
      </c>
      <c r="E301">
        <v>2</v>
      </c>
      <c r="F301">
        <v>17</v>
      </c>
      <c r="G301" t="s">
        <v>14</v>
      </c>
      <c r="H301" t="s">
        <v>19</v>
      </c>
      <c r="I301">
        <v>34</v>
      </c>
      <c r="J301" s="3">
        <f t="shared" si="8"/>
        <v>45680.75</v>
      </c>
      <c r="K301" t="str">
        <f>TEXT(tblSales[[#This Row],[Date]],"ddd")</f>
        <v>Thu</v>
      </c>
      <c r="L301" s="4">
        <f t="shared" si="9"/>
        <v>18</v>
      </c>
    </row>
    <row r="302" spans="1:12" x14ac:dyDescent="0.45">
      <c r="A302" s="1">
        <v>45680</v>
      </c>
      <c r="B302" s="2">
        <v>0.91666666666666663</v>
      </c>
      <c r="C302" t="s">
        <v>18</v>
      </c>
      <c r="D302" t="s">
        <v>10</v>
      </c>
      <c r="E302">
        <v>1</v>
      </c>
      <c r="F302">
        <v>8</v>
      </c>
      <c r="G302" t="s">
        <v>14</v>
      </c>
      <c r="H302" t="s">
        <v>19</v>
      </c>
      <c r="I302">
        <v>8</v>
      </c>
      <c r="J302" s="3">
        <f t="shared" si="8"/>
        <v>45680.916666666664</v>
      </c>
      <c r="K302" t="str">
        <f>TEXT(tblSales[[#This Row],[Date]],"ddd")</f>
        <v>Thu</v>
      </c>
      <c r="L302" s="4">
        <f t="shared" si="9"/>
        <v>22</v>
      </c>
    </row>
    <row r="303" spans="1:12" x14ac:dyDescent="0.45">
      <c r="A303" s="1">
        <v>45681</v>
      </c>
      <c r="B303" s="2">
        <v>4.1666666666666664E-2</v>
      </c>
      <c r="C303" t="s">
        <v>20</v>
      </c>
      <c r="D303" t="s">
        <v>16</v>
      </c>
      <c r="E303">
        <v>3</v>
      </c>
      <c r="F303">
        <v>14</v>
      </c>
      <c r="G303" t="s">
        <v>14</v>
      </c>
      <c r="H303" t="s">
        <v>19</v>
      </c>
      <c r="I303">
        <v>42</v>
      </c>
      <c r="J303" s="3">
        <f t="shared" si="8"/>
        <v>45681.041666666664</v>
      </c>
      <c r="K303" t="str">
        <f>TEXT(tblSales[[#This Row],[Date]],"ddd")</f>
        <v>Fri</v>
      </c>
      <c r="L303" s="4">
        <f t="shared" si="9"/>
        <v>1</v>
      </c>
    </row>
    <row r="304" spans="1:12" x14ac:dyDescent="0.45">
      <c r="A304" s="1">
        <v>45681</v>
      </c>
      <c r="B304" s="2">
        <v>0.125</v>
      </c>
      <c r="C304" t="s">
        <v>18</v>
      </c>
      <c r="D304" t="s">
        <v>10</v>
      </c>
      <c r="E304">
        <v>1</v>
      </c>
      <c r="F304">
        <v>8</v>
      </c>
      <c r="G304" t="s">
        <v>14</v>
      </c>
      <c r="H304" t="s">
        <v>19</v>
      </c>
      <c r="I304">
        <v>8</v>
      </c>
      <c r="J304" s="3">
        <f t="shared" si="8"/>
        <v>45681.125</v>
      </c>
      <c r="K304" t="str">
        <f>TEXT(tblSales[[#This Row],[Date]],"ddd")</f>
        <v>Fri</v>
      </c>
      <c r="L304" s="4">
        <f t="shared" si="9"/>
        <v>3</v>
      </c>
    </row>
    <row r="305" spans="1:12" x14ac:dyDescent="0.45">
      <c r="A305" s="1">
        <v>45681</v>
      </c>
      <c r="B305" s="2">
        <v>0.125</v>
      </c>
      <c r="C305" t="s">
        <v>21</v>
      </c>
      <c r="D305" t="s">
        <v>16</v>
      </c>
      <c r="E305">
        <v>2</v>
      </c>
      <c r="F305">
        <v>15</v>
      </c>
      <c r="G305" t="s">
        <v>14</v>
      </c>
      <c r="H305" t="s">
        <v>12</v>
      </c>
      <c r="I305">
        <v>30</v>
      </c>
      <c r="J305" s="3">
        <f t="shared" si="8"/>
        <v>45681.125</v>
      </c>
      <c r="K305" t="str">
        <f>TEXT(tblSales[[#This Row],[Date]],"ddd")</f>
        <v>Fri</v>
      </c>
      <c r="L305" s="4">
        <f t="shared" si="9"/>
        <v>3</v>
      </c>
    </row>
    <row r="306" spans="1:12" x14ac:dyDescent="0.45">
      <c r="A306" s="1">
        <v>45681</v>
      </c>
      <c r="B306" s="2">
        <v>0.16666666666666666</v>
      </c>
      <c r="C306" t="s">
        <v>25</v>
      </c>
      <c r="D306" t="s">
        <v>10</v>
      </c>
      <c r="E306">
        <v>1</v>
      </c>
      <c r="F306">
        <v>18</v>
      </c>
      <c r="G306" t="s">
        <v>14</v>
      </c>
      <c r="H306" t="s">
        <v>12</v>
      </c>
      <c r="I306">
        <v>18</v>
      </c>
      <c r="J306" s="3">
        <f t="shared" si="8"/>
        <v>45681.166666666664</v>
      </c>
      <c r="K306" t="str">
        <f>TEXT(tblSales[[#This Row],[Date]],"ddd")</f>
        <v>Fri</v>
      </c>
      <c r="L306" s="4">
        <f t="shared" si="9"/>
        <v>4</v>
      </c>
    </row>
    <row r="307" spans="1:12" x14ac:dyDescent="0.45">
      <c r="A307" s="1">
        <v>45681</v>
      </c>
      <c r="B307" s="2">
        <v>0.33333333333333331</v>
      </c>
      <c r="C307" t="s">
        <v>20</v>
      </c>
      <c r="D307" t="s">
        <v>16</v>
      </c>
      <c r="E307">
        <v>3</v>
      </c>
      <c r="F307">
        <v>14</v>
      </c>
      <c r="G307" t="s">
        <v>11</v>
      </c>
      <c r="H307" t="s">
        <v>19</v>
      </c>
      <c r="I307">
        <v>42</v>
      </c>
      <c r="J307" s="3">
        <f t="shared" si="8"/>
        <v>45681.333333333336</v>
      </c>
      <c r="K307" t="str">
        <f>TEXT(tblSales[[#This Row],[Date]],"ddd")</f>
        <v>Fri</v>
      </c>
      <c r="L307" s="4">
        <f t="shared" si="9"/>
        <v>8</v>
      </c>
    </row>
    <row r="308" spans="1:12" x14ac:dyDescent="0.45">
      <c r="A308" s="1">
        <v>45681</v>
      </c>
      <c r="B308" s="2">
        <v>0.375</v>
      </c>
      <c r="C308" t="s">
        <v>15</v>
      </c>
      <c r="D308" t="s">
        <v>16</v>
      </c>
      <c r="E308">
        <v>3</v>
      </c>
      <c r="F308">
        <v>10</v>
      </c>
      <c r="G308" t="s">
        <v>14</v>
      </c>
      <c r="H308" t="s">
        <v>17</v>
      </c>
      <c r="I308">
        <v>30</v>
      </c>
      <c r="J308" s="3">
        <f t="shared" si="8"/>
        <v>45681.375</v>
      </c>
      <c r="K308" t="str">
        <f>TEXT(tblSales[[#This Row],[Date]],"ddd")</f>
        <v>Fri</v>
      </c>
      <c r="L308" s="4">
        <f t="shared" si="9"/>
        <v>9</v>
      </c>
    </row>
    <row r="309" spans="1:12" x14ac:dyDescent="0.45">
      <c r="A309" s="1">
        <v>45681</v>
      </c>
      <c r="B309" s="2">
        <v>0.41666666666666669</v>
      </c>
      <c r="C309" t="s">
        <v>9</v>
      </c>
      <c r="D309" t="s">
        <v>10</v>
      </c>
      <c r="E309">
        <v>1</v>
      </c>
      <c r="F309">
        <v>6</v>
      </c>
      <c r="G309" t="s">
        <v>14</v>
      </c>
      <c r="H309" t="s">
        <v>19</v>
      </c>
      <c r="I309">
        <v>6</v>
      </c>
      <c r="J309" s="3">
        <f t="shared" si="8"/>
        <v>45681.416666666664</v>
      </c>
      <c r="K309" t="str">
        <f>TEXT(tblSales[[#This Row],[Date]],"ddd")</f>
        <v>Fri</v>
      </c>
      <c r="L309" s="4">
        <f t="shared" si="9"/>
        <v>10</v>
      </c>
    </row>
    <row r="310" spans="1:12" x14ac:dyDescent="0.45">
      <c r="A310" s="1">
        <v>45681</v>
      </c>
      <c r="B310" s="2">
        <v>0.41666666666666669</v>
      </c>
      <c r="C310" t="s">
        <v>24</v>
      </c>
      <c r="D310" t="s">
        <v>16</v>
      </c>
      <c r="E310">
        <v>2</v>
      </c>
      <c r="F310">
        <v>12</v>
      </c>
      <c r="G310" t="s">
        <v>14</v>
      </c>
      <c r="H310" t="s">
        <v>19</v>
      </c>
      <c r="I310">
        <v>24</v>
      </c>
      <c r="J310" s="3">
        <f t="shared" si="8"/>
        <v>45681.416666666664</v>
      </c>
      <c r="K310" t="str">
        <f>TEXT(tblSales[[#This Row],[Date]],"ddd")</f>
        <v>Fri</v>
      </c>
      <c r="L310" s="4">
        <f t="shared" si="9"/>
        <v>10</v>
      </c>
    </row>
    <row r="311" spans="1:12" x14ac:dyDescent="0.45">
      <c r="A311" s="1">
        <v>45681</v>
      </c>
      <c r="B311" s="2">
        <v>0.45833333333333331</v>
      </c>
      <c r="C311" t="s">
        <v>24</v>
      </c>
      <c r="D311" t="s">
        <v>16</v>
      </c>
      <c r="E311">
        <v>2</v>
      </c>
      <c r="F311">
        <v>12</v>
      </c>
      <c r="G311" t="s">
        <v>14</v>
      </c>
      <c r="H311" t="s">
        <v>19</v>
      </c>
      <c r="I311">
        <v>24</v>
      </c>
      <c r="J311" s="3">
        <f t="shared" si="8"/>
        <v>45681.458333333336</v>
      </c>
      <c r="K311" t="str">
        <f>TEXT(tblSales[[#This Row],[Date]],"ddd")</f>
        <v>Fri</v>
      </c>
      <c r="L311" s="4">
        <f t="shared" si="9"/>
        <v>11</v>
      </c>
    </row>
    <row r="312" spans="1:12" x14ac:dyDescent="0.45">
      <c r="A312" s="1">
        <v>45681</v>
      </c>
      <c r="B312" s="2">
        <v>0.45833333333333331</v>
      </c>
      <c r="C312" t="s">
        <v>21</v>
      </c>
      <c r="D312" t="s">
        <v>16</v>
      </c>
      <c r="E312">
        <v>3</v>
      </c>
      <c r="F312">
        <v>15</v>
      </c>
      <c r="G312" t="s">
        <v>23</v>
      </c>
      <c r="H312" t="s">
        <v>19</v>
      </c>
      <c r="I312">
        <v>45</v>
      </c>
      <c r="J312" s="3">
        <f t="shared" si="8"/>
        <v>45681.458333333336</v>
      </c>
      <c r="K312" t="str">
        <f>TEXT(tblSales[[#This Row],[Date]],"ddd")</f>
        <v>Fri</v>
      </c>
      <c r="L312" s="4">
        <f t="shared" si="9"/>
        <v>11</v>
      </c>
    </row>
    <row r="313" spans="1:12" x14ac:dyDescent="0.45">
      <c r="A313" s="1">
        <v>45681</v>
      </c>
      <c r="B313" s="2">
        <v>0.5</v>
      </c>
      <c r="C313" t="s">
        <v>9</v>
      </c>
      <c r="D313" t="s">
        <v>10</v>
      </c>
      <c r="E313">
        <v>3</v>
      </c>
      <c r="F313">
        <v>6</v>
      </c>
      <c r="G313" t="s">
        <v>14</v>
      </c>
      <c r="H313" t="s">
        <v>17</v>
      </c>
      <c r="I313">
        <v>18</v>
      </c>
      <c r="J313" s="3">
        <f t="shared" si="8"/>
        <v>45681.5</v>
      </c>
      <c r="K313" t="str">
        <f>TEXT(tblSales[[#This Row],[Date]],"ddd")</f>
        <v>Fri</v>
      </c>
      <c r="L313" s="4">
        <f t="shared" si="9"/>
        <v>12</v>
      </c>
    </row>
    <row r="314" spans="1:12" x14ac:dyDescent="0.45">
      <c r="A314" s="1">
        <v>45681</v>
      </c>
      <c r="B314" s="2">
        <v>0.54166666666666663</v>
      </c>
      <c r="C314" t="s">
        <v>20</v>
      </c>
      <c r="D314" t="s">
        <v>16</v>
      </c>
      <c r="E314">
        <v>1</v>
      </c>
      <c r="F314">
        <v>14</v>
      </c>
      <c r="G314" t="s">
        <v>14</v>
      </c>
      <c r="H314" t="s">
        <v>17</v>
      </c>
      <c r="I314">
        <v>14</v>
      </c>
      <c r="J314" s="3">
        <f t="shared" si="8"/>
        <v>45681.541666666664</v>
      </c>
      <c r="K314" t="str">
        <f>TEXT(tblSales[[#This Row],[Date]],"ddd")</f>
        <v>Fri</v>
      </c>
      <c r="L314" s="4">
        <f t="shared" si="9"/>
        <v>13</v>
      </c>
    </row>
    <row r="315" spans="1:12" x14ac:dyDescent="0.45">
      <c r="A315" s="1">
        <v>45681</v>
      </c>
      <c r="B315" s="2">
        <v>0.54166666666666663</v>
      </c>
      <c r="C315" t="s">
        <v>15</v>
      </c>
      <c r="D315" t="s">
        <v>16</v>
      </c>
      <c r="E315">
        <v>3</v>
      </c>
      <c r="F315">
        <v>10</v>
      </c>
      <c r="G315" t="s">
        <v>14</v>
      </c>
      <c r="H315" t="s">
        <v>19</v>
      </c>
      <c r="I315">
        <v>30</v>
      </c>
      <c r="J315" s="3">
        <f t="shared" si="8"/>
        <v>45681.541666666664</v>
      </c>
      <c r="K315" t="str">
        <f>TEXT(tblSales[[#This Row],[Date]],"ddd")</f>
        <v>Fri</v>
      </c>
      <c r="L315" s="4">
        <f t="shared" si="9"/>
        <v>13</v>
      </c>
    </row>
    <row r="316" spans="1:12" x14ac:dyDescent="0.45">
      <c r="A316" s="1">
        <v>45681</v>
      </c>
      <c r="B316" s="2">
        <v>0.54166666666666663</v>
      </c>
      <c r="C316" t="s">
        <v>18</v>
      </c>
      <c r="D316" t="s">
        <v>10</v>
      </c>
      <c r="E316">
        <v>2</v>
      </c>
      <c r="F316">
        <v>8</v>
      </c>
      <c r="G316" t="s">
        <v>11</v>
      </c>
      <c r="H316" t="s">
        <v>17</v>
      </c>
      <c r="I316">
        <v>16</v>
      </c>
      <c r="J316" s="3">
        <f t="shared" si="8"/>
        <v>45681.541666666664</v>
      </c>
      <c r="K316" t="str">
        <f>TEXT(tblSales[[#This Row],[Date]],"ddd")</f>
        <v>Fri</v>
      </c>
      <c r="L316" s="4">
        <f t="shared" si="9"/>
        <v>13</v>
      </c>
    </row>
    <row r="317" spans="1:12" x14ac:dyDescent="0.45">
      <c r="A317" s="1">
        <v>45681</v>
      </c>
      <c r="B317" s="2">
        <v>0.58333333333333337</v>
      </c>
      <c r="C317" t="s">
        <v>18</v>
      </c>
      <c r="D317" t="s">
        <v>10</v>
      </c>
      <c r="E317">
        <v>1</v>
      </c>
      <c r="F317">
        <v>8</v>
      </c>
      <c r="G317" t="s">
        <v>14</v>
      </c>
      <c r="H317" t="s">
        <v>19</v>
      </c>
      <c r="I317">
        <v>8</v>
      </c>
      <c r="J317" s="3">
        <f t="shared" si="8"/>
        <v>45681.583333333336</v>
      </c>
      <c r="K317" t="str">
        <f>TEXT(tblSales[[#This Row],[Date]],"ddd")</f>
        <v>Fri</v>
      </c>
      <c r="L317" s="4">
        <f t="shared" si="9"/>
        <v>14</v>
      </c>
    </row>
    <row r="318" spans="1:12" x14ac:dyDescent="0.45">
      <c r="A318" s="1">
        <v>45681</v>
      </c>
      <c r="B318" s="2">
        <v>0.70833333333333337</v>
      </c>
      <c r="C318" t="s">
        <v>13</v>
      </c>
      <c r="D318" t="s">
        <v>10</v>
      </c>
      <c r="E318">
        <v>1</v>
      </c>
      <c r="F318">
        <v>9</v>
      </c>
      <c r="G318" t="s">
        <v>14</v>
      </c>
      <c r="H318" t="s">
        <v>19</v>
      </c>
      <c r="I318">
        <v>9</v>
      </c>
      <c r="J318" s="3">
        <f t="shared" si="8"/>
        <v>45681.708333333336</v>
      </c>
      <c r="K318" t="str">
        <f>TEXT(tblSales[[#This Row],[Date]],"ddd")</f>
        <v>Fri</v>
      </c>
      <c r="L318" s="4">
        <f t="shared" si="9"/>
        <v>17</v>
      </c>
    </row>
    <row r="319" spans="1:12" x14ac:dyDescent="0.45">
      <c r="A319" s="1">
        <v>45681</v>
      </c>
      <c r="B319" s="2">
        <v>0.79166666666666663</v>
      </c>
      <c r="C319" t="s">
        <v>26</v>
      </c>
      <c r="D319" t="s">
        <v>10</v>
      </c>
      <c r="E319">
        <v>2</v>
      </c>
      <c r="F319">
        <v>17</v>
      </c>
      <c r="G319" t="s">
        <v>11</v>
      </c>
      <c r="H319" t="s">
        <v>19</v>
      </c>
      <c r="I319">
        <v>34</v>
      </c>
      <c r="J319" s="3">
        <f t="shared" si="8"/>
        <v>45681.791666666664</v>
      </c>
      <c r="K319" t="str">
        <f>TEXT(tblSales[[#This Row],[Date]],"ddd")</f>
        <v>Fri</v>
      </c>
      <c r="L319" s="4">
        <f t="shared" si="9"/>
        <v>19</v>
      </c>
    </row>
    <row r="320" spans="1:12" x14ac:dyDescent="0.45">
      <c r="A320" s="1">
        <v>45681</v>
      </c>
      <c r="B320" s="2">
        <v>0.875</v>
      </c>
      <c r="C320" t="s">
        <v>26</v>
      </c>
      <c r="D320" t="s">
        <v>10</v>
      </c>
      <c r="E320">
        <v>1</v>
      </c>
      <c r="F320">
        <v>17</v>
      </c>
      <c r="G320" t="s">
        <v>14</v>
      </c>
      <c r="H320" t="s">
        <v>17</v>
      </c>
      <c r="I320">
        <v>17</v>
      </c>
      <c r="J320" s="3">
        <f t="shared" si="8"/>
        <v>45681.875</v>
      </c>
      <c r="K320" t="str">
        <f>TEXT(tblSales[[#This Row],[Date]],"ddd")</f>
        <v>Fri</v>
      </c>
      <c r="L320" s="4">
        <f t="shared" si="9"/>
        <v>21</v>
      </c>
    </row>
    <row r="321" spans="1:12" x14ac:dyDescent="0.45">
      <c r="A321" s="1">
        <v>45681</v>
      </c>
      <c r="B321" s="2">
        <v>0.875</v>
      </c>
      <c r="C321" t="s">
        <v>22</v>
      </c>
      <c r="D321" t="s">
        <v>16</v>
      </c>
      <c r="E321">
        <v>3</v>
      </c>
      <c r="F321">
        <v>16</v>
      </c>
      <c r="G321" t="s">
        <v>14</v>
      </c>
      <c r="H321" t="s">
        <v>19</v>
      </c>
      <c r="I321">
        <v>48</v>
      </c>
      <c r="J321" s="3">
        <f t="shared" si="8"/>
        <v>45681.875</v>
      </c>
      <c r="K321" t="str">
        <f>TEXT(tblSales[[#This Row],[Date]],"ddd")</f>
        <v>Fri</v>
      </c>
      <c r="L321" s="4">
        <f t="shared" si="9"/>
        <v>21</v>
      </c>
    </row>
    <row r="322" spans="1:12" x14ac:dyDescent="0.45">
      <c r="A322" s="1">
        <v>45681</v>
      </c>
      <c r="B322" s="2">
        <v>0.91666666666666663</v>
      </c>
      <c r="C322" t="s">
        <v>24</v>
      </c>
      <c r="D322" t="s">
        <v>16</v>
      </c>
      <c r="E322">
        <v>1</v>
      </c>
      <c r="F322">
        <v>12</v>
      </c>
      <c r="G322" t="s">
        <v>11</v>
      </c>
      <c r="H322" t="s">
        <v>12</v>
      </c>
      <c r="I322">
        <v>12</v>
      </c>
      <c r="J322" s="3">
        <f t="shared" ref="J322:J385" si="10">A322+B322</f>
        <v>45681.916666666664</v>
      </c>
      <c r="K322" t="str">
        <f>TEXT(tblSales[[#This Row],[Date]],"ddd")</f>
        <v>Fri</v>
      </c>
      <c r="L322" s="4">
        <f t="shared" ref="L322:L385" si="11" xml:space="preserve"> HOUR(B322)</f>
        <v>22</v>
      </c>
    </row>
    <row r="323" spans="1:12" x14ac:dyDescent="0.45">
      <c r="A323" s="1">
        <v>45681</v>
      </c>
      <c r="B323" s="2">
        <v>0.91666666666666663</v>
      </c>
      <c r="C323" t="s">
        <v>9</v>
      </c>
      <c r="D323" t="s">
        <v>10</v>
      </c>
      <c r="E323">
        <v>3</v>
      </c>
      <c r="F323">
        <v>6</v>
      </c>
      <c r="G323" t="s">
        <v>14</v>
      </c>
      <c r="H323" t="s">
        <v>12</v>
      </c>
      <c r="I323">
        <v>18</v>
      </c>
      <c r="J323" s="3">
        <f t="shared" si="10"/>
        <v>45681.916666666664</v>
      </c>
      <c r="K323" t="str">
        <f>TEXT(tblSales[[#This Row],[Date]],"ddd")</f>
        <v>Fri</v>
      </c>
      <c r="L323" s="4">
        <f t="shared" si="11"/>
        <v>22</v>
      </c>
    </row>
    <row r="324" spans="1:12" x14ac:dyDescent="0.45">
      <c r="A324" s="1">
        <v>45682</v>
      </c>
      <c r="B324" s="2">
        <v>4.1666666666666664E-2</v>
      </c>
      <c r="C324" t="s">
        <v>9</v>
      </c>
      <c r="D324" t="s">
        <v>10</v>
      </c>
      <c r="E324">
        <v>2</v>
      </c>
      <c r="F324">
        <v>6</v>
      </c>
      <c r="G324" t="s">
        <v>11</v>
      </c>
      <c r="H324" t="s">
        <v>19</v>
      </c>
      <c r="I324">
        <v>12</v>
      </c>
      <c r="J324" s="3">
        <f t="shared" si="10"/>
        <v>45682.041666666664</v>
      </c>
      <c r="K324" t="str">
        <f>TEXT(tblSales[[#This Row],[Date]],"ddd")</f>
        <v>Sat</v>
      </c>
      <c r="L324" s="4">
        <f t="shared" si="11"/>
        <v>1</v>
      </c>
    </row>
    <row r="325" spans="1:12" x14ac:dyDescent="0.45">
      <c r="A325" s="1">
        <v>45682</v>
      </c>
      <c r="B325" s="2">
        <v>0.125</v>
      </c>
      <c r="C325" t="s">
        <v>25</v>
      </c>
      <c r="D325" t="s">
        <v>10</v>
      </c>
      <c r="E325">
        <v>3</v>
      </c>
      <c r="F325">
        <v>18</v>
      </c>
      <c r="G325" t="s">
        <v>23</v>
      </c>
      <c r="H325" t="s">
        <v>12</v>
      </c>
      <c r="I325">
        <v>54</v>
      </c>
      <c r="J325" s="3">
        <f t="shared" si="10"/>
        <v>45682.125</v>
      </c>
      <c r="K325" t="str">
        <f>TEXT(tblSales[[#This Row],[Date]],"ddd")</f>
        <v>Sat</v>
      </c>
      <c r="L325" s="4">
        <f t="shared" si="11"/>
        <v>3</v>
      </c>
    </row>
    <row r="326" spans="1:12" x14ac:dyDescent="0.45">
      <c r="A326" s="1">
        <v>45682</v>
      </c>
      <c r="B326" s="2">
        <v>0.41666666666666669</v>
      </c>
      <c r="C326" t="s">
        <v>13</v>
      </c>
      <c r="D326" t="s">
        <v>10</v>
      </c>
      <c r="E326">
        <v>1</v>
      </c>
      <c r="F326">
        <v>9</v>
      </c>
      <c r="G326" t="s">
        <v>14</v>
      </c>
      <c r="H326" t="s">
        <v>12</v>
      </c>
      <c r="I326">
        <v>9</v>
      </c>
      <c r="J326" s="3">
        <f t="shared" si="10"/>
        <v>45682.416666666664</v>
      </c>
      <c r="K326" t="str">
        <f>TEXT(tblSales[[#This Row],[Date]],"ddd")</f>
        <v>Sat</v>
      </c>
      <c r="L326" s="4">
        <f t="shared" si="11"/>
        <v>10</v>
      </c>
    </row>
    <row r="327" spans="1:12" x14ac:dyDescent="0.45">
      <c r="A327" s="1">
        <v>45682</v>
      </c>
      <c r="B327" s="2">
        <v>0.66666666666666663</v>
      </c>
      <c r="C327" t="s">
        <v>22</v>
      </c>
      <c r="D327" t="s">
        <v>16</v>
      </c>
      <c r="E327">
        <v>1</v>
      </c>
      <c r="F327">
        <v>16</v>
      </c>
      <c r="G327" t="s">
        <v>14</v>
      </c>
      <c r="H327" t="s">
        <v>17</v>
      </c>
      <c r="I327">
        <v>16</v>
      </c>
      <c r="J327" s="3">
        <f t="shared" si="10"/>
        <v>45682.666666666664</v>
      </c>
      <c r="K327" t="str">
        <f>TEXT(tblSales[[#This Row],[Date]],"ddd")</f>
        <v>Sat</v>
      </c>
      <c r="L327" s="4">
        <f t="shared" si="11"/>
        <v>16</v>
      </c>
    </row>
    <row r="328" spans="1:12" x14ac:dyDescent="0.45">
      <c r="A328" s="1">
        <v>45683</v>
      </c>
      <c r="B328" s="2">
        <v>0</v>
      </c>
      <c r="C328" t="s">
        <v>13</v>
      </c>
      <c r="D328" t="s">
        <v>10</v>
      </c>
      <c r="E328">
        <v>3</v>
      </c>
      <c r="F328">
        <v>9</v>
      </c>
      <c r="G328" t="s">
        <v>11</v>
      </c>
      <c r="H328" t="s">
        <v>12</v>
      </c>
      <c r="I328">
        <v>27</v>
      </c>
      <c r="J328" s="3">
        <f t="shared" si="10"/>
        <v>45683</v>
      </c>
      <c r="K328" t="str">
        <f>TEXT(tblSales[[#This Row],[Date]],"ddd")</f>
        <v>Sun</v>
      </c>
      <c r="L328" s="4">
        <f t="shared" si="11"/>
        <v>0</v>
      </c>
    </row>
    <row r="329" spans="1:12" x14ac:dyDescent="0.45">
      <c r="A329" s="1">
        <v>45683</v>
      </c>
      <c r="B329" s="2">
        <v>0.25</v>
      </c>
      <c r="C329" t="s">
        <v>21</v>
      </c>
      <c r="D329" t="s">
        <v>16</v>
      </c>
      <c r="E329">
        <v>1</v>
      </c>
      <c r="F329">
        <v>15</v>
      </c>
      <c r="G329" t="s">
        <v>14</v>
      </c>
      <c r="H329" t="s">
        <v>17</v>
      </c>
      <c r="I329">
        <v>15</v>
      </c>
      <c r="J329" s="3">
        <f t="shared" si="10"/>
        <v>45683.25</v>
      </c>
      <c r="K329" t="str">
        <f>TEXT(tblSales[[#This Row],[Date]],"ddd")</f>
        <v>Sun</v>
      </c>
      <c r="L329" s="4">
        <f t="shared" si="11"/>
        <v>6</v>
      </c>
    </row>
    <row r="330" spans="1:12" x14ac:dyDescent="0.45">
      <c r="A330" s="1">
        <v>45683</v>
      </c>
      <c r="B330" s="2">
        <v>0.29166666666666669</v>
      </c>
      <c r="C330" t="s">
        <v>15</v>
      </c>
      <c r="D330" t="s">
        <v>16</v>
      </c>
      <c r="E330">
        <v>3</v>
      </c>
      <c r="F330">
        <v>10</v>
      </c>
      <c r="G330" t="s">
        <v>11</v>
      </c>
      <c r="H330" t="s">
        <v>12</v>
      </c>
      <c r="I330">
        <v>30</v>
      </c>
      <c r="J330" s="3">
        <f t="shared" si="10"/>
        <v>45683.291666666664</v>
      </c>
      <c r="K330" t="str">
        <f>TEXT(tblSales[[#This Row],[Date]],"ddd")</f>
        <v>Sun</v>
      </c>
      <c r="L330" s="4">
        <f t="shared" si="11"/>
        <v>7</v>
      </c>
    </row>
    <row r="331" spans="1:12" x14ac:dyDescent="0.45">
      <c r="A331" s="1">
        <v>45683</v>
      </c>
      <c r="B331" s="2">
        <v>0.33333333333333331</v>
      </c>
      <c r="C331" t="s">
        <v>22</v>
      </c>
      <c r="D331" t="s">
        <v>16</v>
      </c>
      <c r="E331">
        <v>1</v>
      </c>
      <c r="F331">
        <v>16</v>
      </c>
      <c r="G331" t="s">
        <v>14</v>
      </c>
      <c r="H331" t="s">
        <v>12</v>
      </c>
      <c r="I331">
        <v>16</v>
      </c>
      <c r="J331" s="3">
        <f t="shared" si="10"/>
        <v>45683.333333333336</v>
      </c>
      <c r="K331" t="str">
        <f>TEXT(tblSales[[#This Row],[Date]],"ddd")</f>
        <v>Sun</v>
      </c>
      <c r="L331" s="4">
        <f t="shared" si="11"/>
        <v>8</v>
      </c>
    </row>
    <row r="332" spans="1:12" x14ac:dyDescent="0.45">
      <c r="A332" s="1">
        <v>45683</v>
      </c>
      <c r="B332" s="2">
        <v>0.33333333333333331</v>
      </c>
      <c r="C332" t="s">
        <v>9</v>
      </c>
      <c r="D332" t="s">
        <v>10</v>
      </c>
      <c r="E332">
        <v>1</v>
      </c>
      <c r="F332">
        <v>6</v>
      </c>
      <c r="G332" t="s">
        <v>14</v>
      </c>
      <c r="H332" t="s">
        <v>19</v>
      </c>
      <c r="I332">
        <v>6</v>
      </c>
      <c r="J332" s="3">
        <f t="shared" si="10"/>
        <v>45683.333333333336</v>
      </c>
      <c r="K332" t="str">
        <f>TEXT(tblSales[[#This Row],[Date]],"ddd")</f>
        <v>Sun</v>
      </c>
      <c r="L332" s="4">
        <f t="shared" si="11"/>
        <v>8</v>
      </c>
    </row>
    <row r="333" spans="1:12" x14ac:dyDescent="0.45">
      <c r="A333" s="1">
        <v>45683</v>
      </c>
      <c r="B333" s="2">
        <v>0.375</v>
      </c>
      <c r="C333" t="s">
        <v>21</v>
      </c>
      <c r="D333" t="s">
        <v>16</v>
      </c>
      <c r="E333">
        <v>1</v>
      </c>
      <c r="F333">
        <v>15</v>
      </c>
      <c r="G333" t="s">
        <v>14</v>
      </c>
      <c r="H333" t="s">
        <v>17</v>
      </c>
      <c r="I333">
        <v>15</v>
      </c>
      <c r="J333" s="3">
        <f t="shared" si="10"/>
        <v>45683.375</v>
      </c>
      <c r="K333" t="str">
        <f>TEXT(tblSales[[#This Row],[Date]],"ddd")</f>
        <v>Sun</v>
      </c>
      <c r="L333" s="4">
        <f t="shared" si="11"/>
        <v>9</v>
      </c>
    </row>
    <row r="334" spans="1:12" x14ac:dyDescent="0.45">
      <c r="A334" s="1">
        <v>45683</v>
      </c>
      <c r="B334" s="2">
        <v>0.41666666666666669</v>
      </c>
      <c r="C334" t="s">
        <v>25</v>
      </c>
      <c r="D334" t="s">
        <v>10</v>
      </c>
      <c r="E334">
        <v>3</v>
      </c>
      <c r="F334">
        <v>18</v>
      </c>
      <c r="G334" t="s">
        <v>14</v>
      </c>
      <c r="H334" t="s">
        <v>12</v>
      </c>
      <c r="I334">
        <v>54</v>
      </c>
      <c r="J334" s="3">
        <f t="shared" si="10"/>
        <v>45683.416666666664</v>
      </c>
      <c r="K334" t="str">
        <f>TEXT(tblSales[[#This Row],[Date]],"ddd")</f>
        <v>Sun</v>
      </c>
      <c r="L334" s="4">
        <f t="shared" si="11"/>
        <v>10</v>
      </c>
    </row>
    <row r="335" spans="1:12" x14ac:dyDescent="0.45">
      <c r="A335" s="1">
        <v>45683</v>
      </c>
      <c r="B335" s="2">
        <v>0.5</v>
      </c>
      <c r="C335" t="s">
        <v>13</v>
      </c>
      <c r="D335" t="s">
        <v>10</v>
      </c>
      <c r="E335">
        <v>3</v>
      </c>
      <c r="F335">
        <v>9</v>
      </c>
      <c r="G335" t="s">
        <v>11</v>
      </c>
      <c r="H335" t="s">
        <v>12</v>
      </c>
      <c r="I335">
        <v>27</v>
      </c>
      <c r="J335" s="3">
        <f t="shared" si="10"/>
        <v>45683.5</v>
      </c>
      <c r="K335" t="str">
        <f>TEXT(tblSales[[#This Row],[Date]],"ddd")</f>
        <v>Sun</v>
      </c>
      <c r="L335" s="4">
        <f t="shared" si="11"/>
        <v>12</v>
      </c>
    </row>
    <row r="336" spans="1:12" x14ac:dyDescent="0.45">
      <c r="A336" s="1">
        <v>45683</v>
      </c>
      <c r="B336" s="2">
        <v>0.5</v>
      </c>
      <c r="C336" t="s">
        <v>21</v>
      </c>
      <c r="D336" t="s">
        <v>16</v>
      </c>
      <c r="E336">
        <v>2</v>
      </c>
      <c r="F336">
        <v>15</v>
      </c>
      <c r="G336" t="s">
        <v>14</v>
      </c>
      <c r="H336" t="s">
        <v>12</v>
      </c>
      <c r="I336">
        <v>30</v>
      </c>
      <c r="J336" s="3">
        <f t="shared" si="10"/>
        <v>45683.5</v>
      </c>
      <c r="K336" t="str">
        <f>TEXT(tblSales[[#This Row],[Date]],"ddd")</f>
        <v>Sun</v>
      </c>
      <c r="L336" s="4">
        <f t="shared" si="11"/>
        <v>12</v>
      </c>
    </row>
    <row r="337" spans="1:12" x14ac:dyDescent="0.45">
      <c r="A337" s="1">
        <v>45683</v>
      </c>
      <c r="B337" s="2">
        <v>0.58333333333333337</v>
      </c>
      <c r="C337" t="s">
        <v>22</v>
      </c>
      <c r="D337" t="s">
        <v>16</v>
      </c>
      <c r="E337">
        <v>1</v>
      </c>
      <c r="F337">
        <v>16</v>
      </c>
      <c r="G337" t="s">
        <v>14</v>
      </c>
      <c r="H337" t="s">
        <v>12</v>
      </c>
      <c r="I337">
        <v>16</v>
      </c>
      <c r="J337" s="3">
        <f t="shared" si="10"/>
        <v>45683.583333333336</v>
      </c>
      <c r="K337" t="str">
        <f>TEXT(tblSales[[#This Row],[Date]],"ddd")</f>
        <v>Sun</v>
      </c>
      <c r="L337" s="4">
        <f t="shared" si="11"/>
        <v>14</v>
      </c>
    </row>
    <row r="338" spans="1:12" x14ac:dyDescent="0.45">
      <c r="A338" s="1">
        <v>45683</v>
      </c>
      <c r="B338" s="2">
        <v>0.79166666666666663</v>
      </c>
      <c r="C338" t="s">
        <v>13</v>
      </c>
      <c r="D338" t="s">
        <v>10</v>
      </c>
      <c r="E338">
        <v>1</v>
      </c>
      <c r="F338">
        <v>9</v>
      </c>
      <c r="G338" t="s">
        <v>23</v>
      </c>
      <c r="H338" t="s">
        <v>12</v>
      </c>
      <c r="I338">
        <v>9</v>
      </c>
      <c r="J338" s="3">
        <f t="shared" si="10"/>
        <v>45683.791666666664</v>
      </c>
      <c r="K338" t="str">
        <f>TEXT(tblSales[[#This Row],[Date]],"ddd")</f>
        <v>Sun</v>
      </c>
      <c r="L338" s="4">
        <f t="shared" si="11"/>
        <v>19</v>
      </c>
    </row>
    <row r="339" spans="1:12" x14ac:dyDescent="0.45">
      <c r="A339" s="1">
        <v>45683</v>
      </c>
      <c r="B339" s="2">
        <v>0.95833333333333337</v>
      </c>
      <c r="C339" t="s">
        <v>15</v>
      </c>
      <c r="D339" t="s">
        <v>16</v>
      </c>
      <c r="E339">
        <v>3</v>
      </c>
      <c r="F339">
        <v>10</v>
      </c>
      <c r="G339" t="s">
        <v>23</v>
      </c>
      <c r="H339" t="s">
        <v>12</v>
      </c>
      <c r="I339">
        <v>30</v>
      </c>
      <c r="J339" s="3">
        <f t="shared" si="10"/>
        <v>45683.958333333336</v>
      </c>
      <c r="K339" t="str">
        <f>TEXT(tblSales[[#This Row],[Date]],"ddd")</f>
        <v>Sun</v>
      </c>
      <c r="L339" s="4">
        <f t="shared" si="11"/>
        <v>23</v>
      </c>
    </row>
    <row r="340" spans="1:12" x14ac:dyDescent="0.45">
      <c r="A340" s="1">
        <v>45684</v>
      </c>
      <c r="B340" s="2">
        <v>0</v>
      </c>
      <c r="C340" t="s">
        <v>21</v>
      </c>
      <c r="D340" t="s">
        <v>16</v>
      </c>
      <c r="E340">
        <v>2</v>
      </c>
      <c r="F340">
        <v>15</v>
      </c>
      <c r="G340" t="s">
        <v>14</v>
      </c>
      <c r="H340" t="s">
        <v>17</v>
      </c>
      <c r="I340">
        <v>30</v>
      </c>
      <c r="J340" s="3">
        <f t="shared" si="10"/>
        <v>45684</v>
      </c>
      <c r="K340" t="str">
        <f>TEXT(tblSales[[#This Row],[Date]],"ddd")</f>
        <v>Mon</v>
      </c>
      <c r="L340" s="4">
        <f t="shared" si="11"/>
        <v>0</v>
      </c>
    </row>
    <row r="341" spans="1:12" x14ac:dyDescent="0.45">
      <c r="A341" s="1">
        <v>45684</v>
      </c>
      <c r="B341" s="2">
        <v>0</v>
      </c>
      <c r="C341" t="s">
        <v>25</v>
      </c>
      <c r="D341" t="s">
        <v>10</v>
      </c>
      <c r="E341">
        <v>1</v>
      </c>
      <c r="F341">
        <v>18</v>
      </c>
      <c r="G341" t="s">
        <v>11</v>
      </c>
      <c r="H341" t="s">
        <v>17</v>
      </c>
      <c r="I341">
        <v>18</v>
      </c>
      <c r="J341" s="3">
        <f t="shared" si="10"/>
        <v>45684</v>
      </c>
      <c r="K341" t="str">
        <f>TEXT(tblSales[[#This Row],[Date]],"ddd")</f>
        <v>Mon</v>
      </c>
      <c r="L341" s="4">
        <f t="shared" si="11"/>
        <v>0</v>
      </c>
    </row>
    <row r="342" spans="1:12" x14ac:dyDescent="0.45">
      <c r="A342" s="1">
        <v>45684</v>
      </c>
      <c r="B342" s="2">
        <v>4.1666666666666664E-2</v>
      </c>
      <c r="C342" t="s">
        <v>24</v>
      </c>
      <c r="D342" t="s">
        <v>16</v>
      </c>
      <c r="E342">
        <v>1</v>
      </c>
      <c r="F342">
        <v>12</v>
      </c>
      <c r="G342" t="s">
        <v>14</v>
      </c>
      <c r="H342" t="s">
        <v>17</v>
      </c>
      <c r="I342">
        <v>12</v>
      </c>
      <c r="J342" s="3">
        <f t="shared" si="10"/>
        <v>45684.041666666664</v>
      </c>
      <c r="K342" t="str">
        <f>TEXT(tblSales[[#This Row],[Date]],"ddd")</f>
        <v>Mon</v>
      </c>
      <c r="L342" s="4">
        <f t="shared" si="11"/>
        <v>1</v>
      </c>
    </row>
    <row r="343" spans="1:12" x14ac:dyDescent="0.45">
      <c r="A343" s="1">
        <v>45684</v>
      </c>
      <c r="B343" s="2">
        <v>0.125</v>
      </c>
      <c r="C343" t="s">
        <v>22</v>
      </c>
      <c r="D343" t="s">
        <v>16</v>
      </c>
      <c r="E343">
        <v>1</v>
      </c>
      <c r="F343">
        <v>16</v>
      </c>
      <c r="G343" t="s">
        <v>14</v>
      </c>
      <c r="H343" t="s">
        <v>12</v>
      </c>
      <c r="I343">
        <v>16</v>
      </c>
      <c r="J343" s="3">
        <f t="shared" si="10"/>
        <v>45684.125</v>
      </c>
      <c r="K343" t="str">
        <f>TEXT(tblSales[[#This Row],[Date]],"ddd")</f>
        <v>Mon</v>
      </c>
      <c r="L343" s="4">
        <f t="shared" si="11"/>
        <v>3</v>
      </c>
    </row>
    <row r="344" spans="1:12" x14ac:dyDescent="0.45">
      <c r="A344" s="1">
        <v>45684</v>
      </c>
      <c r="B344" s="2">
        <v>0.125</v>
      </c>
      <c r="C344" t="s">
        <v>21</v>
      </c>
      <c r="D344" t="s">
        <v>16</v>
      </c>
      <c r="E344">
        <v>2</v>
      </c>
      <c r="F344">
        <v>15</v>
      </c>
      <c r="G344" t="s">
        <v>14</v>
      </c>
      <c r="H344" t="s">
        <v>12</v>
      </c>
      <c r="I344">
        <v>30</v>
      </c>
      <c r="J344" s="3">
        <f t="shared" si="10"/>
        <v>45684.125</v>
      </c>
      <c r="K344" t="str">
        <f>TEXT(tblSales[[#This Row],[Date]],"ddd")</f>
        <v>Mon</v>
      </c>
      <c r="L344" s="4">
        <f t="shared" si="11"/>
        <v>3</v>
      </c>
    </row>
    <row r="345" spans="1:12" x14ac:dyDescent="0.45">
      <c r="A345" s="1">
        <v>45684</v>
      </c>
      <c r="B345" s="2">
        <v>0.33333333333333331</v>
      </c>
      <c r="C345" t="s">
        <v>15</v>
      </c>
      <c r="D345" t="s">
        <v>16</v>
      </c>
      <c r="E345">
        <v>1</v>
      </c>
      <c r="F345">
        <v>10</v>
      </c>
      <c r="G345" t="s">
        <v>23</v>
      </c>
      <c r="H345" t="s">
        <v>19</v>
      </c>
      <c r="I345">
        <v>10</v>
      </c>
      <c r="J345" s="3">
        <f t="shared" si="10"/>
        <v>45684.333333333336</v>
      </c>
      <c r="K345" t="str">
        <f>TEXT(tblSales[[#This Row],[Date]],"ddd")</f>
        <v>Mon</v>
      </c>
      <c r="L345" s="4">
        <f t="shared" si="11"/>
        <v>8</v>
      </c>
    </row>
    <row r="346" spans="1:12" x14ac:dyDescent="0.45">
      <c r="A346" s="1">
        <v>45684</v>
      </c>
      <c r="B346" s="2">
        <v>0.54166666666666663</v>
      </c>
      <c r="C346" t="s">
        <v>22</v>
      </c>
      <c r="D346" t="s">
        <v>16</v>
      </c>
      <c r="E346">
        <v>1</v>
      </c>
      <c r="F346">
        <v>16</v>
      </c>
      <c r="G346" t="s">
        <v>11</v>
      </c>
      <c r="H346" t="s">
        <v>12</v>
      </c>
      <c r="I346">
        <v>16</v>
      </c>
      <c r="J346" s="3">
        <f t="shared" si="10"/>
        <v>45684.541666666664</v>
      </c>
      <c r="K346" t="str">
        <f>TEXT(tblSales[[#This Row],[Date]],"ddd")</f>
        <v>Mon</v>
      </c>
      <c r="L346" s="4">
        <f t="shared" si="11"/>
        <v>13</v>
      </c>
    </row>
    <row r="347" spans="1:12" x14ac:dyDescent="0.45">
      <c r="A347" s="1">
        <v>45684</v>
      </c>
      <c r="B347" s="2">
        <v>0.58333333333333337</v>
      </c>
      <c r="C347" t="s">
        <v>21</v>
      </c>
      <c r="D347" t="s">
        <v>16</v>
      </c>
      <c r="E347">
        <v>1</v>
      </c>
      <c r="F347">
        <v>15</v>
      </c>
      <c r="G347" t="s">
        <v>14</v>
      </c>
      <c r="H347" t="s">
        <v>17</v>
      </c>
      <c r="I347">
        <v>15</v>
      </c>
      <c r="J347" s="3">
        <f t="shared" si="10"/>
        <v>45684.583333333336</v>
      </c>
      <c r="K347" t="str">
        <f>TEXT(tblSales[[#This Row],[Date]],"ddd")</f>
        <v>Mon</v>
      </c>
      <c r="L347" s="4">
        <f t="shared" si="11"/>
        <v>14</v>
      </c>
    </row>
    <row r="348" spans="1:12" x14ac:dyDescent="0.45">
      <c r="A348" s="1">
        <v>45684</v>
      </c>
      <c r="B348" s="2">
        <v>0.625</v>
      </c>
      <c r="C348" t="s">
        <v>20</v>
      </c>
      <c r="D348" t="s">
        <v>16</v>
      </c>
      <c r="E348">
        <v>2</v>
      </c>
      <c r="F348">
        <v>14</v>
      </c>
      <c r="G348" t="s">
        <v>23</v>
      </c>
      <c r="H348" t="s">
        <v>17</v>
      </c>
      <c r="I348">
        <v>28</v>
      </c>
      <c r="J348" s="3">
        <f t="shared" si="10"/>
        <v>45684.625</v>
      </c>
      <c r="K348" t="str">
        <f>TEXT(tblSales[[#This Row],[Date]],"ddd")</f>
        <v>Mon</v>
      </c>
      <c r="L348" s="4">
        <f t="shared" si="11"/>
        <v>15</v>
      </c>
    </row>
    <row r="349" spans="1:12" x14ac:dyDescent="0.45">
      <c r="A349" s="1">
        <v>45684</v>
      </c>
      <c r="B349" s="2">
        <v>0.625</v>
      </c>
      <c r="C349" t="s">
        <v>18</v>
      </c>
      <c r="D349" t="s">
        <v>10</v>
      </c>
      <c r="E349">
        <v>3</v>
      </c>
      <c r="F349">
        <v>8</v>
      </c>
      <c r="G349" t="s">
        <v>14</v>
      </c>
      <c r="H349" t="s">
        <v>12</v>
      </c>
      <c r="I349">
        <v>24</v>
      </c>
      <c r="J349" s="3">
        <f t="shared" si="10"/>
        <v>45684.625</v>
      </c>
      <c r="K349" t="str">
        <f>TEXT(tblSales[[#This Row],[Date]],"ddd")</f>
        <v>Mon</v>
      </c>
      <c r="L349" s="4">
        <f t="shared" si="11"/>
        <v>15</v>
      </c>
    </row>
    <row r="350" spans="1:12" x14ac:dyDescent="0.45">
      <c r="A350" s="1">
        <v>45684</v>
      </c>
      <c r="B350" s="2">
        <v>0.625</v>
      </c>
      <c r="C350" t="s">
        <v>13</v>
      </c>
      <c r="D350" t="s">
        <v>10</v>
      </c>
      <c r="E350">
        <v>3</v>
      </c>
      <c r="F350">
        <v>9</v>
      </c>
      <c r="G350" t="s">
        <v>11</v>
      </c>
      <c r="H350" t="s">
        <v>12</v>
      </c>
      <c r="I350">
        <v>27</v>
      </c>
      <c r="J350" s="3">
        <f t="shared" si="10"/>
        <v>45684.625</v>
      </c>
      <c r="K350" t="str">
        <f>TEXT(tblSales[[#This Row],[Date]],"ddd")</f>
        <v>Mon</v>
      </c>
      <c r="L350" s="4">
        <f t="shared" si="11"/>
        <v>15</v>
      </c>
    </row>
    <row r="351" spans="1:12" x14ac:dyDescent="0.45">
      <c r="A351" s="1">
        <v>45684</v>
      </c>
      <c r="B351" s="2">
        <v>0.66666666666666663</v>
      </c>
      <c r="C351" t="s">
        <v>9</v>
      </c>
      <c r="D351" t="s">
        <v>10</v>
      </c>
      <c r="E351">
        <v>3</v>
      </c>
      <c r="F351">
        <v>6</v>
      </c>
      <c r="G351" t="s">
        <v>14</v>
      </c>
      <c r="H351" t="s">
        <v>12</v>
      </c>
      <c r="I351">
        <v>18</v>
      </c>
      <c r="J351" s="3">
        <f t="shared" si="10"/>
        <v>45684.666666666664</v>
      </c>
      <c r="K351" t="str">
        <f>TEXT(tblSales[[#This Row],[Date]],"ddd")</f>
        <v>Mon</v>
      </c>
      <c r="L351" s="4">
        <f t="shared" si="11"/>
        <v>16</v>
      </c>
    </row>
    <row r="352" spans="1:12" x14ac:dyDescent="0.45">
      <c r="A352" s="1">
        <v>45684</v>
      </c>
      <c r="B352" s="2">
        <v>0.70833333333333337</v>
      </c>
      <c r="C352" t="s">
        <v>26</v>
      </c>
      <c r="D352" t="s">
        <v>10</v>
      </c>
      <c r="E352">
        <v>1</v>
      </c>
      <c r="F352">
        <v>17</v>
      </c>
      <c r="G352" t="s">
        <v>11</v>
      </c>
      <c r="H352" t="s">
        <v>12</v>
      </c>
      <c r="I352">
        <v>17</v>
      </c>
      <c r="J352" s="3">
        <f t="shared" si="10"/>
        <v>45684.708333333336</v>
      </c>
      <c r="K352" t="str">
        <f>TEXT(tblSales[[#This Row],[Date]],"ddd")</f>
        <v>Mon</v>
      </c>
      <c r="L352" s="4">
        <f t="shared" si="11"/>
        <v>17</v>
      </c>
    </row>
    <row r="353" spans="1:12" x14ac:dyDescent="0.45">
      <c r="A353" s="1">
        <v>45684</v>
      </c>
      <c r="B353" s="2">
        <v>0.75</v>
      </c>
      <c r="C353" t="s">
        <v>13</v>
      </c>
      <c r="D353" t="s">
        <v>10</v>
      </c>
      <c r="E353">
        <v>2</v>
      </c>
      <c r="F353">
        <v>9</v>
      </c>
      <c r="G353" t="s">
        <v>14</v>
      </c>
      <c r="H353" t="s">
        <v>12</v>
      </c>
      <c r="I353">
        <v>18</v>
      </c>
      <c r="J353" s="3">
        <f t="shared" si="10"/>
        <v>45684.75</v>
      </c>
      <c r="K353" t="str">
        <f>TEXT(tblSales[[#This Row],[Date]],"ddd")</f>
        <v>Mon</v>
      </c>
      <c r="L353" s="4">
        <f t="shared" si="11"/>
        <v>18</v>
      </c>
    </row>
    <row r="354" spans="1:12" x14ac:dyDescent="0.45">
      <c r="A354" s="1">
        <v>45684</v>
      </c>
      <c r="B354" s="2">
        <v>0.875</v>
      </c>
      <c r="C354" t="s">
        <v>9</v>
      </c>
      <c r="D354" t="s">
        <v>10</v>
      </c>
      <c r="E354">
        <v>2</v>
      </c>
      <c r="F354">
        <v>6</v>
      </c>
      <c r="G354" t="s">
        <v>14</v>
      </c>
      <c r="H354" t="s">
        <v>12</v>
      </c>
      <c r="I354">
        <v>12</v>
      </c>
      <c r="J354" s="3">
        <f t="shared" si="10"/>
        <v>45684.875</v>
      </c>
      <c r="K354" t="str">
        <f>TEXT(tblSales[[#This Row],[Date]],"ddd")</f>
        <v>Mon</v>
      </c>
      <c r="L354" s="4">
        <f t="shared" si="11"/>
        <v>21</v>
      </c>
    </row>
    <row r="355" spans="1:12" x14ac:dyDescent="0.45">
      <c r="A355" s="1">
        <v>45684</v>
      </c>
      <c r="B355" s="2">
        <v>0.91666666666666663</v>
      </c>
      <c r="C355" t="s">
        <v>9</v>
      </c>
      <c r="D355" t="s">
        <v>10</v>
      </c>
      <c r="E355">
        <v>2</v>
      </c>
      <c r="F355">
        <v>6</v>
      </c>
      <c r="G355" t="s">
        <v>14</v>
      </c>
      <c r="H355" t="s">
        <v>12</v>
      </c>
      <c r="I355">
        <v>12</v>
      </c>
      <c r="J355" s="3">
        <f t="shared" si="10"/>
        <v>45684.916666666664</v>
      </c>
      <c r="K355" t="str">
        <f>TEXT(tblSales[[#This Row],[Date]],"ddd")</f>
        <v>Mon</v>
      </c>
      <c r="L355" s="4">
        <f t="shared" si="11"/>
        <v>22</v>
      </c>
    </row>
    <row r="356" spans="1:12" x14ac:dyDescent="0.45">
      <c r="A356" s="1">
        <v>45684</v>
      </c>
      <c r="B356" s="2">
        <v>0.95833333333333337</v>
      </c>
      <c r="C356" t="s">
        <v>9</v>
      </c>
      <c r="D356" t="s">
        <v>10</v>
      </c>
      <c r="E356">
        <v>1</v>
      </c>
      <c r="F356">
        <v>6</v>
      </c>
      <c r="G356" t="s">
        <v>14</v>
      </c>
      <c r="H356" t="s">
        <v>12</v>
      </c>
      <c r="I356">
        <v>6</v>
      </c>
      <c r="J356" s="3">
        <f t="shared" si="10"/>
        <v>45684.958333333336</v>
      </c>
      <c r="K356" t="str">
        <f>TEXT(tblSales[[#This Row],[Date]],"ddd")</f>
        <v>Mon</v>
      </c>
      <c r="L356" s="4">
        <f t="shared" si="11"/>
        <v>23</v>
      </c>
    </row>
    <row r="357" spans="1:12" x14ac:dyDescent="0.45">
      <c r="A357" s="1">
        <v>45685</v>
      </c>
      <c r="B357" s="2">
        <v>0</v>
      </c>
      <c r="C357" t="s">
        <v>22</v>
      </c>
      <c r="D357" t="s">
        <v>16</v>
      </c>
      <c r="E357">
        <v>3</v>
      </c>
      <c r="F357">
        <v>16</v>
      </c>
      <c r="G357" t="s">
        <v>14</v>
      </c>
      <c r="H357" t="s">
        <v>19</v>
      </c>
      <c r="I357">
        <v>48</v>
      </c>
      <c r="J357" s="3">
        <f t="shared" si="10"/>
        <v>45685</v>
      </c>
      <c r="K357" t="str">
        <f>TEXT(tblSales[[#This Row],[Date]],"ddd")</f>
        <v>Tue</v>
      </c>
      <c r="L357" s="4">
        <f t="shared" si="11"/>
        <v>0</v>
      </c>
    </row>
    <row r="358" spans="1:12" x14ac:dyDescent="0.45">
      <c r="A358" s="1">
        <v>45685</v>
      </c>
      <c r="B358" s="2">
        <v>0.125</v>
      </c>
      <c r="C358" t="s">
        <v>18</v>
      </c>
      <c r="D358" t="s">
        <v>10</v>
      </c>
      <c r="E358">
        <v>2</v>
      </c>
      <c r="F358">
        <v>8</v>
      </c>
      <c r="G358" t="s">
        <v>14</v>
      </c>
      <c r="H358" t="s">
        <v>19</v>
      </c>
      <c r="I358">
        <v>16</v>
      </c>
      <c r="J358" s="3">
        <f t="shared" si="10"/>
        <v>45685.125</v>
      </c>
      <c r="K358" t="str">
        <f>TEXT(tblSales[[#This Row],[Date]],"ddd")</f>
        <v>Tue</v>
      </c>
      <c r="L358" s="4">
        <f t="shared" si="11"/>
        <v>3</v>
      </c>
    </row>
    <row r="359" spans="1:12" x14ac:dyDescent="0.45">
      <c r="A359" s="1">
        <v>45685</v>
      </c>
      <c r="B359" s="2">
        <v>0.20833333333333334</v>
      </c>
      <c r="C359" t="s">
        <v>22</v>
      </c>
      <c r="D359" t="s">
        <v>16</v>
      </c>
      <c r="E359">
        <v>3</v>
      </c>
      <c r="F359">
        <v>16</v>
      </c>
      <c r="G359" t="s">
        <v>14</v>
      </c>
      <c r="H359" t="s">
        <v>17</v>
      </c>
      <c r="I359">
        <v>48</v>
      </c>
      <c r="J359" s="3">
        <f t="shared" si="10"/>
        <v>45685.208333333336</v>
      </c>
      <c r="K359" t="str">
        <f>TEXT(tblSales[[#This Row],[Date]],"ddd")</f>
        <v>Tue</v>
      </c>
      <c r="L359" s="4">
        <f t="shared" si="11"/>
        <v>5</v>
      </c>
    </row>
    <row r="360" spans="1:12" x14ac:dyDescent="0.45">
      <c r="A360" s="1">
        <v>45685</v>
      </c>
      <c r="B360" s="2">
        <v>0.25</v>
      </c>
      <c r="C360" t="s">
        <v>22</v>
      </c>
      <c r="D360" t="s">
        <v>16</v>
      </c>
      <c r="E360">
        <v>3</v>
      </c>
      <c r="F360">
        <v>16</v>
      </c>
      <c r="G360" t="s">
        <v>11</v>
      </c>
      <c r="H360" t="s">
        <v>17</v>
      </c>
      <c r="I360">
        <v>48</v>
      </c>
      <c r="J360" s="3">
        <f t="shared" si="10"/>
        <v>45685.25</v>
      </c>
      <c r="K360" t="str">
        <f>TEXT(tblSales[[#This Row],[Date]],"ddd")</f>
        <v>Tue</v>
      </c>
      <c r="L360" s="4">
        <f t="shared" si="11"/>
        <v>6</v>
      </c>
    </row>
    <row r="361" spans="1:12" x14ac:dyDescent="0.45">
      <c r="A361" s="1">
        <v>45685</v>
      </c>
      <c r="B361" s="2">
        <v>0.41666666666666669</v>
      </c>
      <c r="C361" t="s">
        <v>24</v>
      </c>
      <c r="D361" t="s">
        <v>16</v>
      </c>
      <c r="E361">
        <v>1</v>
      </c>
      <c r="F361">
        <v>12</v>
      </c>
      <c r="G361" t="s">
        <v>14</v>
      </c>
      <c r="H361" t="s">
        <v>12</v>
      </c>
      <c r="I361">
        <v>12</v>
      </c>
      <c r="J361" s="3">
        <f t="shared" si="10"/>
        <v>45685.416666666664</v>
      </c>
      <c r="K361" t="str">
        <f>TEXT(tblSales[[#This Row],[Date]],"ddd")</f>
        <v>Tue</v>
      </c>
      <c r="L361" s="4">
        <f t="shared" si="11"/>
        <v>10</v>
      </c>
    </row>
    <row r="362" spans="1:12" x14ac:dyDescent="0.45">
      <c r="A362" s="1">
        <v>45685</v>
      </c>
      <c r="B362" s="2">
        <v>0.41666666666666669</v>
      </c>
      <c r="C362" t="s">
        <v>24</v>
      </c>
      <c r="D362" t="s">
        <v>16</v>
      </c>
      <c r="E362">
        <v>1</v>
      </c>
      <c r="F362">
        <v>12</v>
      </c>
      <c r="G362" t="s">
        <v>11</v>
      </c>
      <c r="H362" t="s">
        <v>12</v>
      </c>
      <c r="I362">
        <v>12</v>
      </c>
      <c r="J362" s="3">
        <f t="shared" si="10"/>
        <v>45685.416666666664</v>
      </c>
      <c r="K362" t="str">
        <f>TEXT(tblSales[[#This Row],[Date]],"ddd")</f>
        <v>Tue</v>
      </c>
      <c r="L362" s="4">
        <f t="shared" si="11"/>
        <v>10</v>
      </c>
    </row>
    <row r="363" spans="1:12" x14ac:dyDescent="0.45">
      <c r="A363" s="1">
        <v>45685</v>
      </c>
      <c r="B363" s="2">
        <v>0.45833333333333331</v>
      </c>
      <c r="C363" t="s">
        <v>20</v>
      </c>
      <c r="D363" t="s">
        <v>16</v>
      </c>
      <c r="E363">
        <v>2</v>
      </c>
      <c r="F363">
        <v>14</v>
      </c>
      <c r="G363" t="s">
        <v>14</v>
      </c>
      <c r="H363" t="s">
        <v>19</v>
      </c>
      <c r="I363">
        <v>28</v>
      </c>
      <c r="J363" s="3">
        <f t="shared" si="10"/>
        <v>45685.458333333336</v>
      </c>
      <c r="K363" t="str">
        <f>TEXT(tblSales[[#This Row],[Date]],"ddd")</f>
        <v>Tue</v>
      </c>
      <c r="L363" s="4">
        <f t="shared" si="11"/>
        <v>11</v>
      </c>
    </row>
    <row r="364" spans="1:12" x14ac:dyDescent="0.45">
      <c r="A364" s="1">
        <v>45685</v>
      </c>
      <c r="B364" s="2">
        <v>0.54166666666666663</v>
      </c>
      <c r="C364" t="s">
        <v>15</v>
      </c>
      <c r="D364" t="s">
        <v>16</v>
      </c>
      <c r="E364">
        <v>1</v>
      </c>
      <c r="F364">
        <v>10</v>
      </c>
      <c r="G364" t="s">
        <v>14</v>
      </c>
      <c r="H364" t="s">
        <v>12</v>
      </c>
      <c r="I364">
        <v>10</v>
      </c>
      <c r="J364" s="3">
        <f t="shared" si="10"/>
        <v>45685.541666666664</v>
      </c>
      <c r="K364" t="str">
        <f>TEXT(tblSales[[#This Row],[Date]],"ddd")</f>
        <v>Tue</v>
      </c>
      <c r="L364" s="4">
        <f t="shared" si="11"/>
        <v>13</v>
      </c>
    </row>
    <row r="365" spans="1:12" x14ac:dyDescent="0.45">
      <c r="A365" s="1">
        <v>45685</v>
      </c>
      <c r="B365" s="2">
        <v>0.58333333333333337</v>
      </c>
      <c r="C365" t="s">
        <v>18</v>
      </c>
      <c r="D365" t="s">
        <v>10</v>
      </c>
      <c r="E365">
        <v>3</v>
      </c>
      <c r="F365">
        <v>8</v>
      </c>
      <c r="G365" t="s">
        <v>14</v>
      </c>
      <c r="H365" t="s">
        <v>19</v>
      </c>
      <c r="I365">
        <v>24</v>
      </c>
      <c r="J365" s="3">
        <f t="shared" si="10"/>
        <v>45685.583333333336</v>
      </c>
      <c r="K365" t="str">
        <f>TEXT(tblSales[[#This Row],[Date]],"ddd")</f>
        <v>Tue</v>
      </c>
      <c r="L365" s="4">
        <f t="shared" si="11"/>
        <v>14</v>
      </c>
    </row>
    <row r="366" spans="1:12" x14ac:dyDescent="0.45">
      <c r="A366" s="1">
        <v>45685</v>
      </c>
      <c r="B366" s="2">
        <v>0.625</v>
      </c>
      <c r="C366" t="s">
        <v>18</v>
      </c>
      <c r="D366" t="s">
        <v>10</v>
      </c>
      <c r="E366">
        <v>3</v>
      </c>
      <c r="F366">
        <v>8</v>
      </c>
      <c r="G366" t="s">
        <v>11</v>
      </c>
      <c r="H366" t="s">
        <v>19</v>
      </c>
      <c r="I366">
        <v>24</v>
      </c>
      <c r="J366" s="3">
        <f t="shared" si="10"/>
        <v>45685.625</v>
      </c>
      <c r="K366" t="str">
        <f>TEXT(tblSales[[#This Row],[Date]],"ddd")</f>
        <v>Tue</v>
      </c>
      <c r="L366" s="4">
        <f t="shared" si="11"/>
        <v>15</v>
      </c>
    </row>
    <row r="367" spans="1:12" x14ac:dyDescent="0.45">
      <c r="A367" s="1">
        <v>45685</v>
      </c>
      <c r="B367" s="2">
        <v>0.625</v>
      </c>
      <c r="C367" t="s">
        <v>9</v>
      </c>
      <c r="D367" t="s">
        <v>10</v>
      </c>
      <c r="E367">
        <v>2</v>
      </c>
      <c r="F367">
        <v>6</v>
      </c>
      <c r="G367" t="s">
        <v>14</v>
      </c>
      <c r="H367" t="s">
        <v>19</v>
      </c>
      <c r="I367">
        <v>12</v>
      </c>
      <c r="J367" s="3">
        <f t="shared" si="10"/>
        <v>45685.625</v>
      </c>
      <c r="K367" t="str">
        <f>TEXT(tblSales[[#This Row],[Date]],"ddd")</f>
        <v>Tue</v>
      </c>
      <c r="L367" s="4">
        <f t="shared" si="11"/>
        <v>15</v>
      </c>
    </row>
    <row r="368" spans="1:12" x14ac:dyDescent="0.45">
      <c r="A368" s="1">
        <v>45685</v>
      </c>
      <c r="B368" s="2">
        <v>0.66666666666666663</v>
      </c>
      <c r="C368" t="s">
        <v>25</v>
      </c>
      <c r="D368" t="s">
        <v>10</v>
      </c>
      <c r="E368">
        <v>1</v>
      </c>
      <c r="F368">
        <v>18</v>
      </c>
      <c r="G368" t="s">
        <v>14</v>
      </c>
      <c r="H368" t="s">
        <v>17</v>
      </c>
      <c r="I368">
        <v>18</v>
      </c>
      <c r="J368" s="3">
        <f t="shared" si="10"/>
        <v>45685.666666666664</v>
      </c>
      <c r="K368" t="str">
        <f>TEXT(tblSales[[#This Row],[Date]],"ddd")</f>
        <v>Tue</v>
      </c>
      <c r="L368" s="4">
        <f t="shared" si="11"/>
        <v>16</v>
      </c>
    </row>
    <row r="369" spans="1:12" x14ac:dyDescent="0.45">
      <c r="A369" s="1">
        <v>45685</v>
      </c>
      <c r="B369" s="2">
        <v>0.875</v>
      </c>
      <c r="C369" t="s">
        <v>18</v>
      </c>
      <c r="D369" t="s">
        <v>10</v>
      </c>
      <c r="E369">
        <v>2</v>
      </c>
      <c r="F369">
        <v>8</v>
      </c>
      <c r="G369" t="s">
        <v>14</v>
      </c>
      <c r="H369" t="s">
        <v>17</v>
      </c>
      <c r="I369">
        <v>16</v>
      </c>
      <c r="J369" s="3">
        <f t="shared" si="10"/>
        <v>45685.875</v>
      </c>
      <c r="K369" t="str">
        <f>TEXT(tblSales[[#This Row],[Date]],"ddd")</f>
        <v>Tue</v>
      </c>
      <c r="L369" s="4">
        <f t="shared" si="11"/>
        <v>21</v>
      </c>
    </row>
    <row r="370" spans="1:12" x14ac:dyDescent="0.45">
      <c r="A370" s="1">
        <v>45685</v>
      </c>
      <c r="B370" s="2">
        <v>0.95833333333333337</v>
      </c>
      <c r="C370" t="s">
        <v>26</v>
      </c>
      <c r="D370" t="s">
        <v>10</v>
      </c>
      <c r="E370">
        <v>2</v>
      </c>
      <c r="F370">
        <v>17</v>
      </c>
      <c r="G370" t="s">
        <v>11</v>
      </c>
      <c r="H370" t="s">
        <v>19</v>
      </c>
      <c r="I370">
        <v>34</v>
      </c>
      <c r="J370" s="3">
        <f t="shared" si="10"/>
        <v>45685.958333333336</v>
      </c>
      <c r="K370" t="str">
        <f>TEXT(tblSales[[#This Row],[Date]],"ddd")</f>
        <v>Tue</v>
      </c>
      <c r="L370" s="4">
        <f t="shared" si="11"/>
        <v>23</v>
      </c>
    </row>
    <row r="371" spans="1:12" x14ac:dyDescent="0.45">
      <c r="A371" s="1">
        <v>45685</v>
      </c>
      <c r="B371" s="2">
        <v>0.95833333333333337</v>
      </c>
      <c r="C371" t="s">
        <v>9</v>
      </c>
      <c r="D371" t="s">
        <v>10</v>
      </c>
      <c r="E371">
        <v>1</v>
      </c>
      <c r="F371">
        <v>6</v>
      </c>
      <c r="G371" t="s">
        <v>14</v>
      </c>
      <c r="H371" t="s">
        <v>17</v>
      </c>
      <c r="I371">
        <v>6</v>
      </c>
      <c r="J371" s="3">
        <f t="shared" si="10"/>
        <v>45685.958333333336</v>
      </c>
      <c r="K371" t="str">
        <f>TEXT(tblSales[[#This Row],[Date]],"ddd")</f>
        <v>Tue</v>
      </c>
      <c r="L371" s="4">
        <f t="shared" si="11"/>
        <v>23</v>
      </c>
    </row>
    <row r="372" spans="1:12" x14ac:dyDescent="0.45">
      <c r="A372" s="1">
        <v>45686</v>
      </c>
      <c r="B372" s="2">
        <v>0</v>
      </c>
      <c r="C372" t="s">
        <v>15</v>
      </c>
      <c r="D372" t="s">
        <v>16</v>
      </c>
      <c r="E372">
        <v>2</v>
      </c>
      <c r="F372">
        <v>10</v>
      </c>
      <c r="G372" t="s">
        <v>11</v>
      </c>
      <c r="H372" t="s">
        <v>12</v>
      </c>
      <c r="I372">
        <v>20</v>
      </c>
      <c r="J372" s="3">
        <f t="shared" si="10"/>
        <v>45686</v>
      </c>
      <c r="K372" t="str">
        <f>TEXT(tblSales[[#This Row],[Date]],"ddd")</f>
        <v>Wed</v>
      </c>
      <c r="L372" s="4">
        <f t="shared" si="11"/>
        <v>0</v>
      </c>
    </row>
    <row r="373" spans="1:12" x14ac:dyDescent="0.45">
      <c r="A373" s="1">
        <v>45686</v>
      </c>
      <c r="B373" s="2">
        <v>8.3333333333333329E-2</v>
      </c>
      <c r="C373" t="s">
        <v>25</v>
      </c>
      <c r="D373" t="s">
        <v>10</v>
      </c>
      <c r="E373">
        <v>3</v>
      </c>
      <c r="F373">
        <v>18</v>
      </c>
      <c r="G373" t="s">
        <v>14</v>
      </c>
      <c r="H373" t="s">
        <v>19</v>
      </c>
      <c r="I373">
        <v>54</v>
      </c>
      <c r="J373" s="3">
        <f t="shared" si="10"/>
        <v>45686.083333333336</v>
      </c>
      <c r="K373" t="str">
        <f>TEXT(tblSales[[#This Row],[Date]],"ddd")</f>
        <v>Wed</v>
      </c>
      <c r="L373" s="4">
        <f t="shared" si="11"/>
        <v>2</v>
      </c>
    </row>
    <row r="374" spans="1:12" x14ac:dyDescent="0.45">
      <c r="A374" s="1">
        <v>45686</v>
      </c>
      <c r="B374" s="2">
        <v>0.16666666666666666</v>
      </c>
      <c r="C374" t="s">
        <v>26</v>
      </c>
      <c r="D374" t="s">
        <v>10</v>
      </c>
      <c r="E374">
        <v>2</v>
      </c>
      <c r="F374">
        <v>17</v>
      </c>
      <c r="G374" t="s">
        <v>14</v>
      </c>
      <c r="H374" t="s">
        <v>12</v>
      </c>
      <c r="I374">
        <v>34</v>
      </c>
      <c r="J374" s="3">
        <f t="shared" si="10"/>
        <v>45686.166666666664</v>
      </c>
      <c r="K374" t="str">
        <f>TEXT(tblSales[[#This Row],[Date]],"ddd")</f>
        <v>Wed</v>
      </c>
      <c r="L374" s="4">
        <f t="shared" si="11"/>
        <v>4</v>
      </c>
    </row>
    <row r="375" spans="1:12" x14ac:dyDescent="0.45">
      <c r="A375" s="1">
        <v>45686</v>
      </c>
      <c r="B375" s="2">
        <v>0.33333333333333331</v>
      </c>
      <c r="C375" t="s">
        <v>18</v>
      </c>
      <c r="D375" t="s">
        <v>10</v>
      </c>
      <c r="E375">
        <v>2</v>
      </c>
      <c r="F375">
        <v>8</v>
      </c>
      <c r="G375" t="s">
        <v>11</v>
      </c>
      <c r="H375" t="s">
        <v>12</v>
      </c>
      <c r="I375">
        <v>16</v>
      </c>
      <c r="J375" s="3">
        <f t="shared" si="10"/>
        <v>45686.333333333336</v>
      </c>
      <c r="K375" t="str">
        <f>TEXT(tblSales[[#This Row],[Date]],"ddd")</f>
        <v>Wed</v>
      </c>
      <c r="L375" s="4">
        <f t="shared" si="11"/>
        <v>8</v>
      </c>
    </row>
    <row r="376" spans="1:12" x14ac:dyDescent="0.45">
      <c r="A376" s="1">
        <v>45686</v>
      </c>
      <c r="B376" s="2">
        <v>0.375</v>
      </c>
      <c r="C376" t="s">
        <v>21</v>
      </c>
      <c r="D376" t="s">
        <v>16</v>
      </c>
      <c r="E376">
        <v>1</v>
      </c>
      <c r="F376">
        <v>15</v>
      </c>
      <c r="G376" t="s">
        <v>11</v>
      </c>
      <c r="H376" t="s">
        <v>12</v>
      </c>
      <c r="I376">
        <v>15</v>
      </c>
      <c r="J376" s="3">
        <f t="shared" si="10"/>
        <v>45686.375</v>
      </c>
      <c r="K376" t="str">
        <f>TEXT(tblSales[[#This Row],[Date]],"ddd")</f>
        <v>Wed</v>
      </c>
      <c r="L376" s="4">
        <f t="shared" si="11"/>
        <v>9</v>
      </c>
    </row>
    <row r="377" spans="1:12" x14ac:dyDescent="0.45">
      <c r="A377" s="1">
        <v>45686</v>
      </c>
      <c r="B377" s="2">
        <v>0.375</v>
      </c>
      <c r="C377" t="s">
        <v>22</v>
      </c>
      <c r="D377" t="s">
        <v>16</v>
      </c>
      <c r="E377">
        <v>3</v>
      </c>
      <c r="F377">
        <v>16</v>
      </c>
      <c r="G377" t="s">
        <v>11</v>
      </c>
      <c r="H377" t="s">
        <v>12</v>
      </c>
      <c r="I377">
        <v>48</v>
      </c>
      <c r="J377" s="3">
        <f t="shared" si="10"/>
        <v>45686.375</v>
      </c>
      <c r="K377" t="str">
        <f>TEXT(tblSales[[#This Row],[Date]],"ddd")</f>
        <v>Wed</v>
      </c>
      <c r="L377" s="4">
        <f t="shared" si="11"/>
        <v>9</v>
      </c>
    </row>
    <row r="378" spans="1:12" x14ac:dyDescent="0.45">
      <c r="A378" s="1">
        <v>45686</v>
      </c>
      <c r="B378" s="2">
        <v>0.375</v>
      </c>
      <c r="C378" t="s">
        <v>9</v>
      </c>
      <c r="D378" t="s">
        <v>10</v>
      </c>
      <c r="E378">
        <v>1</v>
      </c>
      <c r="F378">
        <v>6</v>
      </c>
      <c r="G378" t="s">
        <v>14</v>
      </c>
      <c r="H378" t="s">
        <v>19</v>
      </c>
      <c r="I378">
        <v>6</v>
      </c>
      <c r="J378" s="3">
        <f t="shared" si="10"/>
        <v>45686.375</v>
      </c>
      <c r="K378" t="str">
        <f>TEXT(tblSales[[#This Row],[Date]],"ddd")</f>
        <v>Wed</v>
      </c>
      <c r="L378" s="4">
        <f t="shared" si="11"/>
        <v>9</v>
      </c>
    </row>
    <row r="379" spans="1:12" x14ac:dyDescent="0.45">
      <c r="A379" s="1">
        <v>45686</v>
      </c>
      <c r="B379" s="2">
        <v>0.45833333333333331</v>
      </c>
      <c r="C379" t="s">
        <v>26</v>
      </c>
      <c r="D379" t="s">
        <v>10</v>
      </c>
      <c r="E379">
        <v>2</v>
      </c>
      <c r="F379">
        <v>17</v>
      </c>
      <c r="G379" t="s">
        <v>11</v>
      </c>
      <c r="H379" t="s">
        <v>19</v>
      </c>
      <c r="I379">
        <v>34</v>
      </c>
      <c r="J379" s="3">
        <f t="shared" si="10"/>
        <v>45686.458333333336</v>
      </c>
      <c r="K379" t="str">
        <f>TEXT(tblSales[[#This Row],[Date]],"ddd")</f>
        <v>Wed</v>
      </c>
      <c r="L379" s="4">
        <f t="shared" si="11"/>
        <v>11</v>
      </c>
    </row>
    <row r="380" spans="1:12" x14ac:dyDescent="0.45">
      <c r="A380" s="1">
        <v>45686</v>
      </c>
      <c r="B380" s="2">
        <v>0.45833333333333331</v>
      </c>
      <c r="C380" t="s">
        <v>21</v>
      </c>
      <c r="D380" t="s">
        <v>16</v>
      </c>
      <c r="E380">
        <v>3</v>
      </c>
      <c r="F380">
        <v>15</v>
      </c>
      <c r="G380" t="s">
        <v>14</v>
      </c>
      <c r="H380" t="s">
        <v>19</v>
      </c>
      <c r="I380">
        <v>45</v>
      </c>
      <c r="J380" s="3">
        <f t="shared" si="10"/>
        <v>45686.458333333336</v>
      </c>
      <c r="K380" t="str">
        <f>TEXT(tblSales[[#This Row],[Date]],"ddd")</f>
        <v>Wed</v>
      </c>
      <c r="L380" s="4">
        <f t="shared" si="11"/>
        <v>11</v>
      </c>
    </row>
    <row r="381" spans="1:12" x14ac:dyDescent="0.45">
      <c r="A381" s="1">
        <v>45686</v>
      </c>
      <c r="B381" s="2">
        <v>0.45833333333333331</v>
      </c>
      <c r="C381" t="s">
        <v>26</v>
      </c>
      <c r="D381" t="s">
        <v>10</v>
      </c>
      <c r="E381">
        <v>1</v>
      </c>
      <c r="F381">
        <v>17</v>
      </c>
      <c r="G381" t="s">
        <v>11</v>
      </c>
      <c r="H381" t="s">
        <v>12</v>
      </c>
      <c r="I381">
        <v>17</v>
      </c>
      <c r="J381" s="3">
        <f t="shared" si="10"/>
        <v>45686.458333333336</v>
      </c>
      <c r="K381" t="str">
        <f>TEXT(tblSales[[#This Row],[Date]],"ddd")</f>
        <v>Wed</v>
      </c>
      <c r="L381" s="4">
        <f t="shared" si="11"/>
        <v>11</v>
      </c>
    </row>
    <row r="382" spans="1:12" x14ac:dyDescent="0.45">
      <c r="A382" s="1">
        <v>45686</v>
      </c>
      <c r="B382" s="2">
        <v>0.5</v>
      </c>
      <c r="C382" t="s">
        <v>20</v>
      </c>
      <c r="D382" t="s">
        <v>16</v>
      </c>
      <c r="E382">
        <v>2</v>
      </c>
      <c r="F382">
        <v>14</v>
      </c>
      <c r="G382" t="s">
        <v>14</v>
      </c>
      <c r="H382" t="s">
        <v>17</v>
      </c>
      <c r="I382">
        <v>28</v>
      </c>
      <c r="J382" s="3">
        <f t="shared" si="10"/>
        <v>45686.5</v>
      </c>
      <c r="K382" t="str">
        <f>TEXT(tblSales[[#This Row],[Date]],"ddd")</f>
        <v>Wed</v>
      </c>
      <c r="L382" s="4">
        <f t="shared" si="11"/>
        <v>12</v>
      </c>
    </row>
    <row r="383" spans="1:12" x14ac:dyDescent="0.45">
      <c r="A383" s="1">
        <v>45686</v>
      </c>
      <c r="B383" s="2">
        <v>0.54166666666666663</v>
      </c>
      <c r="C383" t="s">
        <v>24</v>
      </c>
      <c r="D383" t="s">
        <v>16</v>
      </c>
      <c r="E383">
        <v>1</v>
      </c>
      <c r="F383">
        <v>12</v>
      </c>
      <c r="G383" t="s">
        <v>14</v>
      </c>
      <c r="H383" t="s">
        <v>12</v>
      </c>
      <c r="I383">
        <v>12</v>
      </c>
      <c r="J383" s="3">
        <f t="shared" si="10"/>
        <v>45686.541666666664</v>
      </c>
      <c r="K383" t="str">
        <f>TEXT(tblSales[[#This Row],[Date]],"ddd")</f>
        <v>Wed</v>
      </c>
      <c r="L383" s="4">
        <f t="shared" si="11"/>
        <v>13</v>
      </c>
    </row>
    <row r="384" spans="1:12" x14ac:dyDescent="0.45">
      <c r="A384" s="1">
        <v>45686</v>
      </c>
      <c r="B384" s="2">
        <v>0.58333333333333337</v>
      </c>
      <c r="C384" t="s">
        <v>25</v>
      </c>
      <c r="D384" t="s">
        <v>10</v>
      </c>
      <c r="E384">
        <v>1</v>
      </c>
      <c r="F384">
        <v>18</v>
      </c>
      <c r="G384" t="s">
        <v>11</v>
      </c>
      <c r="H384" t="s">
        <v>12</v>
      </c>
      <c r="I384">
        <v>18</v>
      </c>
      <c r="J384" s="3">
        <f t="shared" si="10"/>
        <v>45686.583333333336</v>
      </c>
      <c r="K384" t="str">
        <f>TEXT(tblSales[[#This Row],[Date]],"ddd")</f>
        <v>Wed</v>
      </c>
      <c r="L384" s="4">
        <f t="shared" si="11"/>
        <v>14</v>
      </c>
    </row>
    <row r="385" spans="1:12" x14ac:dyDescent="0.45">
      <c r="A385" s="1">
        <v>45686</v>
      </c>
      <c r="B385" s="2">
        <v>0.625</v>
      </c>
      <c r="C385" t="s">
        <v>24</v>
      </c>
      <c r="D385" t="s">
        <v>16</v>
      </c>
      <c r="E385">
        <v>1</v>
      </c>
      <c r="F385">
        <v>12</v>
      </c>
      <c r="G385" t="s">
        <v>14</v>
      </c>
      <c r="H385" t="s">
        <v>12</v>
      </c>
      <c r="I385">
        <v>12</v>
      </c>
      <c r="J385" s="3">
        <f t="shared" si="10"/>
        <v>45686.625</v>
      </c>
      <c r="K385" t="str">
        <f>TEXT(tblSales[[#This Row],[Date]],"ddd")</f>
        <v>Wed</v>
      </c>
      <c r="L385" s="4">
        <f t="shared" si="11"/>
        <v>15</v>
      </c>
    </row>
    <row r="386" spans="1:12" x14ac:dyDescent="0.45">
      <c r="A386" s="1">
        <v>45686</v>
      </c>
      <c r="B386" s="2">
        <v>0.75</v>
      </c>
      <c r="C386" t="s">
        <v>22</v>
      </c>
      <c r="D386" t="s">
        <v>16</v>
      </c>
      <c r="E386">
        <v>3</v>
      </c>
      <c r="F386">
        <v>16</v>
      </c>
      <c r="G386" t="s">
        <v>14</v>
      </c>
      <c r="H386" t="s">
        <v>12</v>
      </c>
      <c r="I386">
        <v>48</v>
      </c>
      <c r="J386" s="3">
        <f t="shared" ref="J386:J401" si="12">A386+B386</f>
        <v>45686.75</v>
      </c>
      <c r="K386" t="str">
        <f>TEXT(tblSales[[#This Row],[Date]],"ddd")</f>
        <v>Wed</v>
      </c>
      <c r="L386" s="4">
        <f t="shared" ref="L386:L401" si="13" xml:space="preserve"> HOUR(B386)</f>
        <v>18</v>
      </c>
    </row>
    <row r="387" spans="1:12" x14ac:dyDescent="0.45">
      <c r="A387" s="1">
        <v>45686</v>
      </c>
      <c r="B387" s="2">
        <v>0.79166666666666663</v>
      </c>
      <c r="C387" t="s">
        <v>25</v>
      </c>
      <c r="D387" t="s">
        <v>10</v>
      </c>
      <c r="E387">
        <v>2</v>
      </c>
      <c r="F387">
        <v>18</v>
      </c>
      <c r="G387" t="s">
        <v>14</v>
      </c>
      <c r="H387" t="s">
        <v>12</v>
      </c>
      <c r="I387">
        <v>36</v>
      </c>
      <c r="J387" s="3">
        <f t="shared" si="12"/>
        <v>45686.791666666664</v>
      </c>
      <c r="K387" t="str">
        <f>TEXT(tblSales[[#This Row],[Date]],"ddd")</f>
        <v>Wed</v>
      </c>
      <c r="L387" s="4">
        <f t="shared" si="13"/>
        <v>19</v>
      </c>
    </row>
    <row r="388" spans="1:12" x14ac:dyDescent="0.45">
      <c r="A388" s="1">
        <v>45687</v>
      </c>
      <c r="B388" s="2">
        <v>4.1666666666666664E-2</v>
      </c>
      <c r="C388" t="s">
        <v>9</v>
      </c>
      <c r="D388" t="s">
        <v>10</v>
      </c>
      <c r="E388">
        <v>3</v>
      </c>
      <c r="F388">
        <v>6</v>
      </c>
      <c r="G388" t="s">
        <v>11</v>
      </c>
      <c r="H388" t="s">
        <v>12</v>
      </c>
      <c r="I388">
        <v>18</v>
      </c>
      <c r="J388" s="3">
        <f t="shared" si="12"/>
        <v>45687.041666666664</v>
      </c>
      <c r="K388" t="str">
        <f>TEXT(tblSales[[#This Row],[Date]],"ddd")</f>
        <v>Thu</v>
      </c>
      <c r="L388" s="4">
        <f t="shared" si="13"/>
        <v>1</v>
      </c>
    </row>
    <row r="389" spans="1:12" x14ac:dyDescent="0.45">
      <c r="A389" s="1">
        <v>45687</v>
      </c>
      <c r="B389" s="2">
        <v>8.3333333333333329E-2</v>
      </c>
      <c r="C389" t="s">
        <v>21</v>
      </c>
      <c r="D389" t="s">
        <v>16</v>
      </c>
      <c r="E389">
        <v>2</v>
      </c>
      <c r="F389">
        <v>15</v>
      </c>
      <c r="G389" t="s">
        <v>14</v>
      </c>
      <c r="H389" t="s">
        <v>19</v>
      </c>
      <c r="I389">
        <v>30</v>
      </c>
      <c r="J389" s="3">
        <f t="shared" si="12"/>
        <v>45687.083333333336</v>
      </c>
      <c r="K389" t="str">
        <f>TEXT(tblSales[[#This Row],[Date]],"ddd")</f>
        <v>Thu</v>
      </c>
      <c r="L389" s="4">
        <f t="shared" si="13"/>
        <v>2</v>
      </c>
    </row>
    <row r="390" spans="1:12" x14ac:dyDescent="0.45">
      <c r="A390" s="1">
        <v>45687</v>
      </c>
      <c r="B390" s="2">
        <v>8.3333333333333329E-2</v>
      </c>
      <c r="C390" t="s">
        <v>24</v>
      </c>
      <c r="D390" t="s">
        <v>16</v>
      </c>
      <c r="E390">
        <v>2</v>
      </c>
      <c r="F390">
        <v>12</v>
      </c>
      <c r="G390" t="s">
        <v>14</v>
      </c>
      <c r="H390" t="s">
        <v>17</v>
      </c>
      <c r="I390">
        <v>24</v>
      </c>
      <c r="J390" s="3">
        <f t="shared" si="12"/>
        <v>45687.083333333336</v>
      </c>
      <c r="K390" t="str">
        <f>TEXT(tblSales[[#This Row],[Date]],"ddd")</f>
        <v>Thu</v>
      </c>
      <c r="L390" s="4">
        <f t="shared" si="13"/>
        <v>2</v>
      </c>
    </row>
    <row r="391" spans="1:12" x14ac:dyDescent="0.45">
      <c r="A391" s="1">
        <v>45687</v>
      </c>
      <c r="B391" s="2">
        <v>0.125</v>
      </c>
      <c r="C391" t="s">
        <v>26</v>
      </c>
      <c r="D391" t="s">
        <v>10</v>
      </c>
      <c r="E391">
        <v>3</v>
      </c>
      <c r="F391">
        <v>17</v>
      </c>
      <c r="G391" t="s">
        <v>14</v>
      </c>
      <c r="H391" t="s">
        <v>12</v>
      </c>
      <c r="I391">
        <v>51</v>
      </c>
      <c r="J391" s="3">
        <f t="shared" si="12"/>
        <v>45687.125</v>
      </c>
      <c r="K391" t="str">
        <f>TEXT(tblSales[[#This Row],[Date]],"ddd")</f>
        <v>Thu</v>
      </c>
      <c r="L391" s="4">
        <f t="shared" si="13"/>
        <v>3</v>
      </c>
    </row>
    <row r="392" spans="1:12" x14ac:dyDescent="0.45">
      <c r="A392" s="1">
        <v>45687</v>
      </c>
      <c r="B392" s="2">
        <v>0.125</v>
      </c>
      <c r="C392" t="s">
        <v>26</v>
      </c>
      <c r="D392" t="s">
        <v>10</v>
      </c>
      <c r="E392">
        <v>3</v>
      </c>
      <c r="F392">
        <v>17</v>
      </c>
      <c r="G392" t="s">
        <v>14</v>
      </c>
      <c r="H392" t="s">
        <v>12</v>
      </c>
      <c r="I392">
        <v>51</v>
      </c>
      <c r="J392" s="3">
        <f t="shared" si="12"/>
        <v>45687.125</v>
      </c>
      <c r="K392" t="str">
        <f>TEXT(tblSales[[#This Row],[Date]],"ddd")</f>
        <v>Thu</v>
      </c>
      <c r="L392" s="4">
        <f t="shared" si="13"/>
        <v>3</v>
      </c>
    </row>
    <row r="393" spans="1:12" x14ac:dyDescent="0.45">
      <c r="A393" s="1">
        <v>45687</v>
      </c>
      <c r="B393" s="2">
        <v>0.16666666666666666</v>
      </c>
      <c r="C393" t="s">
        <v>25</v>
      </c>
      <c r="D393" t="s">
        <v>10</v>
      </c>
      <c r="E393">
        <v>3</v>
      </c>
      <c r="F393">
        <v>18</v>
      </c>
      <c r="G393" t="s">
        <v>23</v>
      </c>
      <c r="H393" t="s">
        <v>12</v>
      </c>
      <c r="I393">
        <v>54</v>
      </c>
      <c r="J393" s="3">
        <f t="shared" si="12"/>
        <v>45687.166666666664</v>
      </c>
      <c r="K393" t="str">
        <f>TEXT(tblSales[[#This Row],[Date]],"ddd")</f>
        <v>Thu</v>
      </c>
      <c r="L393" s="4">
        <f t="shared" si="13"/>
        <v>4</v>
      </c>
    </row>
    <row r="394" spans="1:12" x14ac:dyDescent="0.45">
      <c r="A394" s="1">
        <v>45687</v>
      </c>
      <c r="B394" s="2">
        <v>0.20833333333333334</v>
      </c>
      <c r="C394" t="s">
        <v>20</v>
      </c>
      <c r="D394" t="s">
        <v>16</v>
      </c>
      <c r="E394">
        <v>2</v>
      </c>
      <c r="F394">
        <v>14</v>
      </c>
      <c r="G394" t="s">
        <v>23</v>
      </c>
      <c r="H394" t="s">
        <v>17</v>
      </c>
      <c r="I394">
        <v>28</v>
      </c>
      <c r="J394" s="3">
        <f t="shared" si="12"/>
        <v>45687.208333333336</v>
      </c>
      <c r="K394" t="str">
        <f>TEXT(tblSales[[#This Row],[Date]],"ddd")</f>
        <v>Thu</v>
      </c>
      <c r="L394" s="4">
        <f t="shared" si="13"/>
        <v>5</v>
      </c>
    </row>
    <row r="395" spans="1:12" x14ac:dyDescent="0.45">
      <c r="A395" s="1">
        <v>45687</v>
      </c>
      <c r="B395" s="2">
        <v>0.25</v>
      </c>
      <c r="C395" t="s">
        <v>15</v>
      </c>
      <c r="D395" t="s">
        <v>16</v>
      </c>
      <c r="E395">
        <v>1</v>
      </c>
      <c r="F395">
        <v>10</v>
      </c>
      <c r="G395" t="s">
        <v>14</v>
      </c>
      <c r="H395" t="s">
        <v>12</v>
      </c>
      <c r="I395">
        <v>10</v>
      </c>
      <c r="J395" s="3">
        <f t="shared" si="12"/>
        <v>45687.25</v>
      </c>
      <c r="K395" t="str">
        <f>TEXT(tblSales[[#This Row],[Date]],"ddd")</f>
        <v>Thu</v>
      </c>
      <c r="L395" s="4">
        <f t="shared" si="13"/>
        <v>6</v>
      </c>
    </row>
    <row r="396" spans="1:12" x14ac:dyDescent="0.45">
      <c r="A396" s="1">
        <v>45687</v>
      </c>
      <c r="B396" s="2">
        <v>0.375</v>
      </c>
      <c r="C396" t="s">
        <v>13</v>
      </c>
      <c r="D396" t="s">
        <v>10</v>
      </c>
      <c r="E396">
        <v>2</v>
      </c>
      <c r="F396">
        <v>9</v>
      </c>
      <c r="G396" t="s">
        <v>14</v>
      </c>
      <c r="H396" t="s">
        <v>17</v>
      </c>
      <c r="I396">
        <v>18</v>
      </c>
      <c r="J396" s="3">
        <f t="shared" si="12"/>
        <v>45687.375</v>
      </c>
      <c r="K396" t="str">
        <f>TEXT(tblSales[[#This Row],[Date]],"ddd")</f>
        <v>Thu</v>
      </c>
      <c r="L396" s="4">
        <f t="shared" si="13"/>
        <v>9</v>
      </c>
    </row>
    <row r="397" spans="1:12" x14ac:dyDescent="0.45">
      <c r="A397" s="1">
        <v>45687</v>
      </c>
      <c r="B397" s="2">
        <v>0.54166666666666663</v>
      </c>
      <c r="C397" t="s">
        <v>22</v>
      </c>
      <c r="D397" t="s">
        <v>16</v>
      </c>
      <c r="E397">
        <v>2</v>
      </c>
      <c r="F397">
        <v>16</v>
      </c>
      <c r="G397" t="s">
        <v>11</v>
      </c>
      <c r="H397" t="s">
        <v>12</v>
      </c>
      <c r="I397">
        <v>32</v>
      </c>
      <c r="J397" s="3">
        <f t="shared" si="12"/>
        <v>45687.541666666664</v>
      </c>
      <c r="K397" t="str">
        <f>TEXT(tblSales[[#This Row],[Date]],"ddd")</f>
        <v>Thu</v>
      </c>
      <c r="L397" s="4">
        <f t="shared" si="13"/>
        <v>13</v>
      </c>
    </row>
    <row r="398" spans="1:12" x14ac:dyDescent="0.45">
      <c r="A398" s="1">
        <v>45687</v>
      </c>
      <c r="B398" s="2">
        <v>0.54166666666666663</v>
      </c>
      <c r="C398" t="s">
        <v>24</v>
      </c>
      <c r="D398" t="s">
        <v>16</v>
      </c>
      <c r="E398">
        <v>1</v>
      </c>
      <c r="F398">
        <v>12</v>
      </c>
      <c r="G398" t="s">
        <v>11</v>
      </c>
      <c r="H398" t="s">
        <v>12</v>
      </c>
      <c r="I398">
        <v>12</v>
      </c>
      <c r="J398" s="3">
        <f t="shared" si="12"/>
        <v>45687.541666666664</v>
      </c>
      <c r="K398" t="str">
        <f>TEXT(tblSales[[#This Row],[Date]],"ddd")</f>
        <v>Thu</v>
      </c>
      <c r="L398" s="4">
        <f t="shared" si="13"/>
        <v>13</v>
      </c>
    </row>
    <row r="399" spans="1:12" x14ac:dyDescent="0.45">
      <c r="A399" s="1">
        <v>45687</v>
      </c>
      <c r="B399" s="2">
        <v>0.58333333333333337</v>
      </c>
      <c r="C399" t="s">
        <v>26</v>
      </c>
      <c r="D399" t="s">
        <v>10</v>
      </c>
      <c r="E399">
        <v>1</v>
      </c>
      <c r="F399">
        <v>17</v>
      </c>
      <c r="G399" t="s">
        <v>14</v>
      </c>
      <c r="H399" t="s">
        <v>12</v>
      </c>
      <c r="I399">
        <v>17</v>
      </c>
      <c r="J399" s="3">
        <f t="shared" si="12"/>
        <v>45687.583333333336</v>
      </c>
      <c r="K399" t="str">
        <f>TEXT(tblSales[[#This Row],[Date]],"ddd")</f>
        <v>Thu</v>
      </c>
      <c r="L399" s="4">
        <f t="shared" si="13"/>
        <v>14</v>
      </c>
    </row>
    <row r="400" spans="1:12" x14ac:dyDescent="0.45">
      <c r="A400" s="1">
        <v>45687</v>
      </c>
      <c r="B400" s="2">
        <v>0.95833333333333337</v>
      </c>
      <c r="C400" t="s">
        <v>15</v>
      </c>
      <c r="D400" t="s">
        <v>16</v>
      </c>
      <c r="E400">
        <v>3</v>
      </c>
      <c r="F400">
        <v>10</v>
      </c>
      <c r="G400" t="s">
        <v>14</v>
      </c>
      <c r="H400" t="s">
        <v>12</v>
      </c>
      <c r="I400">
        <v>30</v>
      </c>
      <c r="J400" s="3">
        <f t="shared" si="12"/>
        <v>45687.958333333336</v>
      </c>
      <c r="K400" t="str">
        <f>TEXT(tblSales[[#This Row],[Date]],"ddd")</f>
        <v>Thu</v>
      </c>
      <c r="L400" s="4">
        <f t="shared" si="13"/>
        <v>23</v>
      </c>
    </row>
    <row r="401" spans="1:12" x14ac:dyDescent="0.45">
      <c r="A401" s="1">
        <v>45687</v>
      </c>
      <c r="B401" s="2">
        <v>0.95833333333333337</v>
      </c>
      <c r="C401" t="s">
        <v>9</v>
      </c>
      <c r="D401" t="s">
        <v>10</v>
      </c>
      <c r="E401">
        <v>2</v>
      </c>
      <c r="F401">
        <v>6</v>
      </c>
      <c r="G401" t="s">
        <v>14</v>
      </c>
      <c r="H401" t="s">
        <v>17</v>
      </c>
      <c r="I401">
        <v>12</v>
      </c>
      <c r="J401" s="3">
        <f t="shared" si="12"/>
        <v>45687.958333333336</v>
      </c>
      <c r="K401" t="str">
        <f>TEXT(tblSales[[#This Row],[Date]],"ddd")</f>
        <v>Thu</v>
      </c>
      <c r="L401" s="4">
        <f t="shared" si="13"/>
        <v>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CA4B9-D4AF-4F23-BF9F-3F7291C32B16}">
  <dimension ref="A3:B34"/>
  <sheetViews>
    <sheetView workbookViewId="0">
      <selection activeCell="I19" sqref="I19"/>
    </sheetView>
  </sheetViews>
  <sheetFormatPr defaultRowHeight="14.25" x14ac:dyDescent="0.45"/>
  <cols>
    <col min="1" max="1" width="11.9296875" bestFit="1" customWidth="1"/>
    <col min="2" max="2" width="13.6640625" bestFit="1" customWidth="1"/>
  </cols>
  <sheetData>
    <row r="3" spans="1:2" x14ac:dyDescent="0.45">
      <c r="A3" s="5" t="s">
        <v>31</v>
      </c>
      <c r="B3" t="s">
        <v>30</v>
      </c>
    </row>
    <row r="4" spans="1:2" x14ac:dyDescent="0.45">
      <c r="A4" s="7">
        <v>45658</v>
      </c>
      <c r="B4">
        <v>369</v>
      </c>
    </row>
    <row r="5" spans="1:2" x14ac:dyDescent="0.45">
      <c r="A5" s="7">
        <v>45659</v>
      </c>
      <c r="B5">
        <v>419</v>
      </c>
    </row>
    <row r="6" spans="1:2" x14ac:dyDescent="0.45">
      <c r="A6" s="7">
        <v>45660</v>
      </c>
      <c r="B6">
        <v>262</v>
      </c>
    </row>
    <row r="7" spans="1:2" x14ac:dyDescent="0.45">
      <c r="A7" s="7">
        <v>45661</v>
      </c>
      <c r="B7">
        <v>172</v>
      </c>
    </row>
    <row r="8" spans="1:2" x14ac:dyDescent="0.45">
      <c r="A8" s="7">
        <v>45662</v>
      </c>
      <c r="B8">
        <v>490</v>
      </c>
    </row>
    <row r="9" spans="1:2" x14ac:dyDescent="0.45">
      <c r="A9" s="7">
        <v>45663</v>
      </c>
      <c r="B9">
        <v>433</v>
      </c>
    </row>
    <row r="10" spans="1:2" x14ac:dyDescent="0.45">
      <c r="A10" s="7">
        <v>45664</v>
      </c>
      <c r="B10">
        <v>414</v>
      </c>
    </row>
    <row r="11" spans="1:2" x14ac:dyDescent="0.45">
      <c r="A11" s="7">
        <v>45665</v>
      </c>
      <c r="B11">
        <v>409</v>
      </c>
    </row>
    <row r="12" spans="1:2" x14ac:dyDescent="0.45">
      <c r="A12" s="7">
        <v>45666</v>
      </c>
      <c r="B12">
        <v>260</v>
      </c>
    </row>
    <row r="13" spans="1:2" x14ac:dyDescent="0.45">
      <c r="A13" s="7">
        <v>45667</v>
      </c>
      <c r="B13">
        <v>389</v>
      </c>
    </row>
    <row r="14" spans="1:2" x14ac:dyDescent="0.45">
      <c r="A14" s="7">
        <v>45668</v>
      </c>
      <c r="B14">
        <v>278</v>
      </c>
    </row>
    <row r="15" spans="1:2" x14ac:dyDescent="0.45">
      <c r="A15" s="7">
        <v>45669</v>
      </c>
      <c r="B15">
        <v>361</v>
      </c>
    </row>
    <row r="16" spans="1:2" x14ac:dyDescent="0.45">
      <c r="A16" s="7">
        <v>45670</v>
      </c>
      <c r="B16">
        <v>173</v>
      </c>
    </row>
    <row r="17" spans="1:2" x14ac:dyDescent="0.45">
      <c r="A17" s="7">
        <v>45671</v>
      </c>
      <c r="B17">
        <v>209</v>
      </c>
    </row>
    <row r="18" spans="1:2" x14ac:dyDescent="0.45">
      <c r="A18" s="7">
        <v>45672</v>
      </c>
      <c r="B18">
        <v>337</v>
      </c>
    </row>
    <row r="19" spans="1:2" x14ac:dyDescent="0.45">
      <c r="A19" s="7">
        <v>45673</v>
      </c>
      <c r="B19">
        <v>254</v>
      </c>
    </row>
    <row r="20" spans="1:2" x14ac:dyDescent="0.45">
      <c r="A20" s="7">
        <v>45674</v>
      </c>
      <c r="B20">
        <v>523</v>
      </c>
    </row>
    <row r="21" spans="1:2" x14ac:dyDescent="0.45">
      <c r="A21" s="7">
        <v>45675</v>
      </c>
      <c r="B21">
        <v>187</v>
      </c>
    </row>
    <row r="22" spans="1:2" x14ac:dyDescent="0.45">
      <c r="A22" s="7">
        <v>45676</v>
      </c>
      <c r="B22">
        <v>250</v>
      </c>
    </row>
    <row r="23" spans="1:2" x14ac:dyDescent="0.45">
      <c r="A23" s="7">
        <v>45677</v>
      </c>
      <c r="B23">
        <v>504</v>
      </c>
    </row>
    <row r="24" spans="1:2" x14ac:dyDescent="0.45">
      <c r="A24" s="7">
        <v>45678</v>
      </c>
      <c r="B24">
        <v>413</v>
      </c>
    </row>
    <row r="25" spans="1:2" x14ac:dyDescent="0.45">
      <c r="A25" s="7">
        <v>45679</v>
      </c>
      <c r="B25">
        <v>404</v>
      </c>
    </row>
    <row r="26" spans="1:2" x14ac:dyDescent="0.45">
      <c r="A26" s="7">
        <v>45680</v>
      </c>
      <c r="B26">
        <v>114</v>
      </c>
    </row>
    <row r="27" spans="1:2" x14ac:dyDescent="0.45">
      <c r="A27" s="7">
        <v>45681</v>
      </c>
      <c r="B27">
        <v>493</v>
      </c>
    </row>
    <row r="28" spans="1:2" x14ac:dyDescent="0.45">
      <c r="A28" s="7">
        <v>45682</v>
      </c>
      <c r="B28">
        <v>91</v>
      </c>
    </row>
    <row r="29" spans="1:2" x14ac:dyDescent="0.45">
      <c r="A29" s="7">
        <v>45683</v>
      </c>
      <c r="B29">
        <v>275</v>
      </c>
    </row>
    <row r="30" spans="1:2" x14ac:dyDescent="0.45">
      <c r="A30" s="7">
        <v>45684</v>
      </c>
      <c r="B30">
        <v>309</v>
      </c>
    </row>
    <row r="31" spans="1:2" x14ac:dyDescent="0.45">
      <c r="A31" s="7">
        <v>45685</v>
      </c>
      <c r="B31">
        <v>356</v>
      </c>
    </row>
    <row r="32" spans="1:2" x14ac:dyDescent="0.45">
      <c r="A32" s="7">
        <v>45686</v>
      </c>
      <c r="B32">
        <v>443</v>
      </c>
    </row>
    <row r="33" spans="1:2" x14ac:dyDescent="0.45">
      <c r="A33" s="7">
        <v>45687</v>
      </c>
      <c r="B33">
        <v>387</v>
      </c>
    </row>
    <row r="34" spans="1:2" x14ac:dyDescent="0.45">
      <c r="A34" s="7" t="s">
        <v>32</v>
      </c>
      <c r="B34">
        <v>9978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518A4-E9AF-439E-ADD8-D07DC3D12CA7}">
  <dimension ref="A3:B28"/>
  <sheetViews>
    <sheetView workbookViewId="0">
      <selection activeCell="B5" sqref="B5"/>
    </sheetView>
  </sheetViews>
  <sheetFormatPr defaultRowHeight="14.25" x14ac:dyDescent="0.45"/>
  <cols>
    <col min="1" max="1" width="11.9296875" bestFit="1" customWidth="1"/>
    <col min="2" max="2" width="13.6640625" bestFit="1" customWidth="1"/>
  </cols>
  <sheetData>
    <row r="3" spans="1:2" x14ac:dyDescent="0.45">
      <c r="A3" s="5" t="s">
        <v>31</v>
      </c>
      <c r="B3" t="s">
        <v>30</v>
      </c>
    </row>
    <row r="4" spans="1:2" x14ac:dyDescent="0.45">
      <c r="A4" s="8">
        <v>0</v>
      </c>
      <c r="B4">
        <v>348</v>
      </c>
    </row>
    <row r="5" spans="1:2" x14ac:dyDescent="0.45">
      <c r="A5" s="8">
        <v>1</v>
      </c>
      <c r="B5">
        <v>390</v>
      </c>
    </row>
    <row r="6" spans="1:2" x14ac:dyDescent="0.45">
      <c r="A6" s="8">
        <v>2</v>
      </c>
      <c r="B6">
        <v>589</v>
      </c>
    </row>
    <row r="7" spans="1:2" x14ac:dyDescent="0.45">
      <c r="A7" s="8">
        <v>3</v>
      </c>
      <c r="B7">
        <v>689</v>
      </c>
    </row>
    <row r="8" spans="1:2" x14ac:dyDescent="0.45">
      <c r="A8" s="8">
        <v>4</v>
      </c>
      <c r="B8">
        <v>353</v>
      </c>
    </row>
    <row r="9" spans="1:2" x14ac:dyDescent="0.45">
      <c r="A9" s="8">
        <v>5</v>
      </c>
      <c r="B9">
        <v>520</v>
      </c>
    </row>
    <row r="10" spans="1:2" x14ac:dyDescent="0.45">
      <c r="A10" s="8">
        <v>6</v>
      </c>
      <c r="B10">
        <v>374</v>
      </c>
    </row>
    <row r="11" spans="1:2" x14ac:dyDescent="0.45">
      <c r="A11" s="8">
        <v>7</v>
      </c>
      <c r="B11">
        <v>325</v>
      </c>
    </row>
    <row r="12" spans="1:2" x14ac:dyDescent="0.45">
      <c r="A12" s="8">
        <v>8</v>
      </c>
      <c r="B12">
        <v>509</v>
      </c>
    </row>
    <row r="13" spans="1:2" x14ac:dyDescent="0.45">
      <c r="A13" s="8">
        <v>9</v>
      </c>
      <c r="B13">
        <v>498</v>
      </c>
    </row>
    <row r="14" spans="1:2" x14ac:dyDescent="0.45">
      <c r="A14" s="8">
        <v>10</v>
      </c>
      <c r="B14">
        <v>443</v>
      </c>
    </row>
    <row r="15" spans="1:2" x14ac:dyDescent="0.45">
      <c r="A15" s="8">
        <v>11</v>
      </c>
      <c r="B15">
        <v>372</v>
      </c>
    </row>
    <row r="16" spans="1:2" x14ac:dyDescent="0.45">
      <c r="A16" s="8">
        <v>12</v>
      </c>
      <c r="B16">
        <v>534</v>
      </c>
    </row>
    <row r="17" spans="1:2" x14ac:dyDescent="0.45">
      <c r="A17" s="8">
        <v>13</v>
      </c>
      <c r="B17">
        <v>492</v>
      </c>
    </row>
    <row r="18" spans="1:2" x14ac:dyDescent="0.45">
      <c r="A18" s="8">
        <v>14</v>
      </c>
      <c r="B18">
        <v>448</v>
      </c>
    </row>
    <row r="19" spans="1:2" x14ac:dyDescent="0.45">
      <c r="A19" s="8">
        <v>15</v>
      </c>
      <c r="B19">
        <v>520</v>
      </c>
    </row>
    <row r="20" spans="1:2" x14ac:dyDescent="0.45">
      <c r="A20" s="8">
        <v>16</v>
      </c>
      <c r="B20">
        <v>517</v>
      </c>
    </row>
    <row r="21" spans="1:2" x14ac:dyDescent="0.45">
      <c r="A21" s="8">
        <v>17</v>
      </c>
      <c r="B21">
        <v>139</v>
      </c>
    </row>
    <row r="22" spans="1:2" x14ac:dyDescent="0.45">
      <c r="A22" s="8">
        <v>18</v>
      </c>
      <c r="B22">
        <v>377</v>
      </c>
    </row>
    <row r="23" spans="1:2" x14ac:dyDescent="0.45">
      <c r="A23" s="8">
        <v>19</v>
      </c>
      <c r="B23">
        <v>281</v>
      </c>
    </row>
    <row r="24" spans="1:2" x14ac:dyDescent="0.45">
      <c r="A24" s="8">
        <v>20</v>
      </c>
      <c r="B24">
        <v>262</v>
      </c>
    </row>
    <row r="25" spans="1:2" x14ac:dyDescent="0.45">
      <c r="A25" s="8">
        <v>21</v>
      </c>
      <c r="B25">
        <v>255</v>
      </c>
    </row>
    <row r="26" spans="1:2" x14ac:dyDescent="0.45">
      <c r="A26" s="8">
        <v>22</v>
      </c>
      <c r="B26">
        <v>363</v>
      </c>
    </row>
    <row r="27" spans="1:2" x14ac:dyDescent="0.45">
      <c r="A27" s="8">
        <v>23</v>
      </c>
      <c r="B27">
        <v>380</v>
      </c>
    </row>
    <row r="28" spans="1:2" x14ac:dyDescent="0.45">
      <c r="A28" s="8" t="s">
        <v>32</v>
      </c>
      <c r="B28">
        <v>9978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A28B8-606A-46E2-A4AD-FC7F3A4EBDA2}">
  <dimension ref="A3:B6"/>
  <sheetViews>
    <sheetView workbookViewId="0">
      <selection activeCell="G26" sqref="G26"/>
    </sheetView>
  </sheetViews>
  <sheetFormatPr defaultRowHeight="14.25" x14ac:dyDescent="0.45"/>
  <cols>
    <col min="1" max="1" width="11.9296875" bestFit="1" customWidth="1"/>
    <col min="2" max="2" width="13.6640625" bestFit="1" customWidth="1"/>
  </cols>
  <sheetData>
    <row r="3" spans="1:2" x14ac:dyDescent="0.45">
      <c r="A3" s="5" t="s">
        <v>31</v>
      </c>
      <c r="B3" t="s">
        <v>30</v>
      </c>
    </row>
    <row r="4" spans="1:2" x14ac:dyDescent="0.45">
      <c r="A4" s="6" t="s">
        <v>16</v>
      </c>
      <c r="B4">
        <v>4913</v>
      </c>
    </row>
    <row r="5" spans="1:2" x14ac:dyDescent="0.45">
      <c r="A5" s="6" t="s">
        <v>10</v>
      </c>
      <c r="B5">
        <v>5065</v>
      </c>
    </row>
    <row r="6" spans="1:2" x14ac:dyDescent="0.45">
      <c r="A6" s="6" t="s">
        <v>32</v>
      </c>
      <c r="B6">
        <v>9978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2F74A-968D-4F86-B344-85B510E30D3E}">
  <dimension ref="A3:B7"/>
  <sheetViews>
    <sheetView workbookViewId="0">
      <selection activeCell="N8" sqref="N8"/>
    </sheetView>
  </sheetViews>
  <sheetFormatPr defaultRowHeight="14.25" x14ac:dyDescent="0.45"/>
  <cols>
    <col min="1" max="1" width="11.9296875" bestFit="1" customWidth="1"/>
    <col min="2" max="2" width="13.6640625" bestFit="1" customWidth="1"/>
  </cols>
  <sheetData>
    <row r="3" spans="1:2" x14ac:dyDescent="0.45">
      <c r="A3" s="5" t="s">
        <v>31</v>
      </c>
      <c r="B3" t="s">
        <v>30</v>
      </c>
    </row>
    <row r="4" spans="1:2" x14ac:dyDescent="0.45">
      <c r="A4" s="6" t="s">
        <v>17</v>
      </c>
      <c r="B4">
        <v>1911</v>
      </c>
    </row>
    <row r="5" spans="1:2" x14ac:dyDescent="0.45">
      <c r="A5" s="6" t="s">
        <v>12</v>
      </c>
      <c r="B5">
        <v>4478</v>
      </c>
    </row>
    <row r="6" spans="1:2" x14ac:dyDescent="0.45">
      <c r="A6" s="6" t="s">
        <v>19</v>
      </c>
      <c r="B6">
        <v>3589</v>
      </c>
    </row>
    <row r="7" spans="1:2" x14ac:dyDescent="0.45">
      <c r="A7" s="6" t="s">
        <v>32</v>
      </c>
      <c r="B7">
        <v>9978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57A48-7B64-4124-BD97-6B52F80C3F61}">
  <dimension ref="A3:B14"/>
  <sheetViews>
    <sheetView workbookViewId="0">
      <selection activeCell="N10" sqref="N10"/>
    </sheetView>
  </sheetViews>
  <sheetFormatPr defaultRowHeight="14.25" x14ac:dyDescent="0.45"/>
  <cols>
    <col min="1" max="1" width="11.9296875" bestFit="1" customWidth="1"/>
    <col min="2" max="2" width="13.6640625" bestFit="1" customWidth="1"/>
  </cols>
  <sheetData>
    <row r="3" spans="1:2" x14ac:dyDescent="0.45">
      <c r="A3" s="5" t="s">
        <v>31</v>
      </c>
      <c r="B3" t="s">
        <v>30</v>
      </c>
    </row>
    <row r="4" spans="1:2" x14ac:dyDescent="0.45">
      <c r="A4" s="6" t="s">
        <v>24</v>
      </c>
      <c r="B4">
        <v>600</v>
      </c>
    </row>
    <row r="5" spans="1:2" x14ac:dyDescent="0.45">
      <c r="A5" s="6" t="s">
        <v>20</v>
      </c>
      <c r="B5">
        <v>1106</v>
      </c>
    </row>
    <row r="6" spans="1:2" x14ac:dyDescent="0.45">
      <c r="A6" s="6" t="s">
        <v>9</v>
      </c>
      <c r="B6">
        <v>468</v>
      </c>
    </row>
    <row r="7" spans="1:2" x14ac:dyDescent="0.45">
      <c r="A7" s="6" t="s">
        <v>13</v>
      </c>
      <c r="B7">
        <v>693</v>
      </c>
    </row>
    <row r="8" spans="1:2" x14ac:dyDescent="0.45">
      <c r="A8" s="6" t="s">
        <v>15</v>
      </c>
      <c r="B8">
        <v>870</v>
      </c>
    </row>
    <row r="9" spans="1:2" x14ac:dyDescent="0.45">
      <c r="A9" s="6" t="s">
        <v>21</v>
      </c>
      <c r="B9">
        <v>945</v>
      </c>
    </row>
    <row r="10" spans="1:2" x14ac:dyDescent="0.45">
      <c r="A10" s="6" t="s">
        <v>22</v>
      </c>
      <c r="B10">
        <v>1392</v>
      </c>
    </row>
    <row r="11" spans="1:2" x14ac:dyDescent="0.45">
      <c r="A11" s="6" t="s">
        <v>18</v>
      </c>
      <c r="B11">
        <v>728</v>
      </c>
    </row>
    <row r="12" spans="1:2" x14ac:dyDescent="0.45">
      <c r="A12" s="6" t="s">
        <v>26</v>
      </c>
      <c r="B12">
        <v>1394</v>
      </c>
    </row>
    <row r="13" spans="1:2" x14ac:dyDescent="0.45">
      <c r="A13" s="6" t="s">
        <v>25</v>
      </c>
      <c r="B13">
        <v>1782</v>
      </c>
    </row>
    <row r="14" spans="1:2" x14ac:dyDescent="0.45">
      <c r="A14" s="6" t="s">
        <v>32</v>
      </c>
      <c r="B14">
        <v>9978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12FACE-2499-4068-B9E3-C33CF63FBB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7</vt:i4>
      </vt:variant>
    </vt:vector>
  </HeadingPairs>
  <TitlesOfParts>
    <vt:vector size="7" baseType="lpstr">
      <vt:lpstr>Dashboard</vt:lpstr>
      <vt:lpstr>Data</vt:lpstr>
      <vt:lpstr>PT_RevenueByDate</vt:lpstr>
      <vt:lpstr>PT_RevenueByHour</vt:lpstr>
      <vt:lpstr>PT_RevenueByCategory</vt:lpstr>
      <vt:lpstr>PT_RevenueByBranch</vt:lpstr>
      <vt:lpstr>Top 10 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Yaser Ahmad Al Omari</dc:creator>
  <cp:lastModifiedBy>Abdullah Yaser Ahmad Al Omari</cp:lastModifiedBy>
  <dcterms:created xsi:type="dcterms:W3CDTF">2025-12-17T18:51:48Z</dcterms:created>
  <dcterms:modified xsi:type="dcterms:W3CDTF">2025-12-18T12:34:37Z</dcterms:modified>
</cp:coreProperties>
</file>